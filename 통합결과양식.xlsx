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wilogroup-my.sharepoint.com/personal/woojae_nam_wilo_com/Documents/"/>
    </mc:Choice>
  </mc:AlternateContent>
  <xr:revisionPtr revIDLastSave="1" documentId="8_{01031BCA-9B12-4D12-9A1A-16782321B7CB}" xr6:coauthVersionLast="47" xr6:coauthVersionMax="47" xr10:uidLastSave="{4722F256-10D6-4B21-83EB-70C90E20BC4E}"/>
  <bookViews>
    <workbookView xWindow="-120" yWindow="-120" windowWidth="29040" windowHeight="15720" xr2:uid="{2972DBD7-1DB7-43B5-A11C-94068CD8F759}"/>
  </bookViews>
  <sheets>
    <sheet name="통합결과양식" sheetId="1" r:id="rId1"/>
  </sheets>
  <definedNames>
    <definedName name="_xlnm._FilterDatabase" localSheetId="0" hidden="1">통합결과양식!$A$2:$DH$166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166" i="1" l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DF164" i="1"/>
  <c r="DF163" i="1"/>
  <c r="DF162" i="1"/>
  <c r="DG162" i="1" s="1" a="1"/>
  <c r="DG162" i="1" s="1"/>
  <c r="DF161" i="1"/>
  <c r="DF160" i="1"/>
  <c r="DF159" i="1"/>
  <c r="DG159" i="1" s="1" a="1"/>
  <c r="DG159" i="1" s="1"/>
  <c r="DF158" i="1"/>
  <c r="DF157" i="1"/>
  <c r="DF156" i="1"/>
  <c r="DG156" i="1" s="1" a="1"/>
  <c r="DG156" i="1" s="1"/>
  <c r="DF155" i="1"/>
  <c r="DF154" i="1"/>
  <c r="DG153" i="1" a="1"/>
  <c r="DG153" i="1" s="1"/>
  <c r="DF153" i="1"/>
  <c r="DF152" i="1"/>
  <c r="DF151" i="1"/>
  <c r="DG150" i="1" a="1"/>
  <c r="DG150" i="1" s="1"/>
  <c r="DF150" i="1"/>
  <c r="DF149" i="1"/>
  <c r="DF148" i="1"/>
  <c r="DF147" i="1"/>
  <c r="DG147" i="1" s="1" a="1"/>
  <c r="DG147" i="1" s="1"/>
  <c r="DF146" i="1"/>
  <c r="DF145" i="1"/>
  <c r="DF144" i="1"/>
  <c r="DG144" i="1" s="1" a="1"/>
  <c r="DG144" i="1" s="1"/>
  <c r="DF143" i="1"/>
  <c r="DF142" i="1"/>
  <c r="DG141" i="1" a="1"/>
  <c r="DG141" i="1" s="1"/>
  <c r="DF141" i="1"/>
  <c r="DF140" i="1"/>
  <c r="DF139" i="1"/>
  <c r="DF138" i="1"/>
  <c r="DG138" i="1" s="1" a="1"/>
  <c r="DG138" i="1" s="1"/>
  <c r="DF137" i="1"/>
  <c r="DF136" i="1"/>
  <c r="DF135" i="1"/>
  <c r="DG135" i="1" s="1" a="1"/>
  <c r="DG135" i="1" s="1"/>
  <c r="DF134" i="1"/>
  <c r="DF133" i="1"/>
  <c r="DF132" i="1"/>
  <c r="DG132" i="1" s="1" a="1"/>
  <c r="DG132" i="1" s="1"/>
  <c r="DF131" i="1"/>
  <c r="DF130" i="1"/>
  <c r="DF129" i="1"/>
  <c r="DG129" i="1" s="1" a="1"/>
  <c r="DG129" i="1" s="1"/>
  <c r="DF128" i="1"/>
  <c r="DF127" i="1"/>
  <c r="DF126" i="1"/>
  <c r="DG126" i="1" s="1" a="1"/>
  <c r="DG126" i="1" s="1"/>
  <c r="DF125" i="1"/>
  <c r="DF124" i="1"/>
  <c r="DG123" i="1" a="1"/>
  <c r="DG123" i="1" s="1"/>
  <c r="DF123" i="1"/>
  <c r="DF122" i="1"/>
  <c r="DF121" i="1"/>
  <c r="DF120" i="1"/>
  <c r="DG120" i="1" s="1" a="1"/>
  <c r="DG120" i="1" s="1"/>
  <c r="DF119" i="1"/>
  <c r="DF118" i="1"/>
  <c r="DG117" i="1" a="1"/>
  <c r="DG117" i="1" s="1"/>
  <c r="DF117" i="1"/>
  <c r="DF116" i="1"/>
  <c r="DF115" i="1"/>
  <c r="DG114" i="1" a="1"/>
  <c r="DG114" i="1" s="1"/>
  <c r="DF114" i="1"/>
  <c r="DF113" i="1"/>
  <c r="DF112" i="1"/>
  <c r="DF111" i="1"/>
  <c r="DG111" i="1" s="1" a="1"/>
  <c r="DG111" i="1" s="1"/>
  <c r="DF110" i="1"/>
  <c r="DF109" i="1"/>
  <c r="DF108" i="1"/>
  <c r="DG108" i="1" s="1" a="1"/>
  <c r="DG108" i="1" s="1"/>
  <c r="DF107" i="1"/>
  <c r="DF106" i="1"/>
  <c r="DG105" i="1" a="1"/>
  <c r="DG105" i="1" s="1"/>
  <c r="DF105" i="1"/>
  <c r="DF104" i="1"/>
  <c r="DF103" i="1"/>
  <c r="DF102" i="1"/>
  <c r="DG102" i="1" s="1" a="1"/>
  <c r="DG102" i="1" s="1"/>
  <c r="DF101" i="1"/>
  <c r="DF100" i="1"/>
  <c r="DF99" i="1"/>
  <c r="DG99" i="1" s="1" a="1"/>
  <c r="DG99" i="1" s="1"/>
  <c r="DF98" i="1"/>
  <c r="DF97" i="1"/>
  <c r="DF96" i="1"/>
  <c r="DG96" i="1" s="1" a="1"/>
  <c r="DG96" i="1" s="1"/>
  <c r="DF95" i="1"/>
  <c r="DF94" i="1"/>
  <c r="DF93" i="1"/>
  <c r="DG93" i="1" s="1" a="1"/>
  <c r="DG93" i="1" s="1"/>
  <c r="DF92" i="1"/>
  <c r="DF91" i="1"/>
  <c r="DF90" i="1"/>
  <c r="DG90" i="1" s="1" a="1"/>
  <c r="DG90" i="1" s="1"/>
  <c r="DF89" i="1"/>
  <c r="DF88" i="1"/>
  <c r="DG87" i="1" a="1"/>
  <c r="DG87" i="1" s="1"/>
  <c r="DF87" i="1"/>
  <c r="DF86" i="1"/>
  <c r="DF85" i="1"/>
  <c r="DF84" i="1"/>
  <c r="DG84" i="1" s="1" a="1"/>
  <c r="DG84" i="1" s="1"/>
  <c r="DF83" i="1"/>
  <c r="DF82" i="1"/>
  <c r="DG81" i="1" a="1"/>
  <c r="DG81" i="1" s="1"/>
  <c r="DF81" i="1"/>
  <c r="DF80" i="1"/>
  <c r="DF79" i="1"/>
  <c r="DG78" i="1" a="1"/>
  <c r="DG78" i="1" s="1"/>
  <c r="DF78" i="1"/>
  <c r="DF77" i="1"/>
  <c r="DF76" i="1"/>
  <c r="DF75" i="1"/>
  <c r="DG75" i="1" s="1" a="1"/>
  <c r="DG75" i="1" s="1"/>
  <c r="DF74" i="1"/>
  <c r="DF73" i="1"/>
  <c r="DF72" i="1"/>
  <c r="DG72" i="1" s="1" a="1"/>
  <c r="DG72" i="1" s="1"/>
  <c r="DF71" i="1"/>
  <c r="DF70" i="1"/>
  <c r="DG69" i="1" a="1"/>
  <c r="DG69" i="1" s="1"/>
  <c r="DF69" i="1"/>
  <c r="DF68" i="1"/>
  <c r="DF67" i="1"/>
  <c r="DF66" i="1"/>
  <c r="DG66" i="1" s="1" a="1"/>
  <c r="DG66" i="1" s="1"/>
  <c r="DF65" i="1"/>
  <c r="DF64" i="1"/>
  <c r="DF63" i="1"/>
  <c r="DG63" i="1" s="1" a="1"/>
  <c r="DG63" i="1" s="1"/>
  <c r="DF62" i="1"/>
  <c r="DF61" i="1"/>
  <c r="DF60" i="1"/>
  <c r="DG60" i="1" s="1" a="1"/>
  <c r="DG60" i="1" s="1"/>
  <c r="DF59" i="1"/>
  <c r="DF58" i="1"/>
  <c r="DF57" i="1"/>
  <c r="DG57" i="1" s="1" a="1"/>
  <c r="DG57" i="1" s="1"/>
  <c r="DF56" i="1"/>
  <c r="DF55" i="1"/>
  <c r="DF54" i="1"/>
  <c r="DG54" i="1" s="1" a="1"/>
  <c r="DG54" i="1" s="1"/>
  <c r="DF53" i="1"/>
  <c r="DF52" i="1"/>
  <c r="DG51" i="1" a="1"/>
  <c r="DG51" i="1" s="1"/>
  <c r="DF51" i="1"/>
  <c r="DF50" i="1"/>
  <c r="DF49" i="1"/>
  <c r="DF48" i="1"/>
  <c r="DG48" i="1" s="1" a="1"/>
  <c r="DG48" i="1" s="1"/>
  <c r="DF47" i="1"/>
  <c r="DF46" i="1"/>
  <c r="DG45" i="1" a="1"/>
  <c r="DG45" i="1" s="1"/>
  <c r="DF45" i="1"/>
  <c r="DF44" i="1"/>
  <c r="DF43" i="1"/>
  <c r="DG42" i="1" a="1"/>
  <c r="DG42" i="1" s="1"/>
  <c r="DF42" i="1"/>
  <c r="DF41" i="1"/>
  <c r="DF40" i="1"/>
  <c r="DF39" i="1"/>
  <c r="DG39" i="1" s="1" a="1"/>
  <c r="DG39" i="1" s="1"/>
  <c r="DF38" i="1"/>
  <c r="DF37" i="1"/>
  <c r="DF36" i="1"/>
  <c r="DG36" i="1" s="1" a="1"/>
  <c r="DG36" i="1" s="1"/>
  <c r="DF35" i="1"/>
  <c r="DF34" i="1"/>
  <c r="DG33" i="1" a="1"/>
  <c r="DG33" i="1" s="1"/>
  <c r="DF33" i="1"/>
  <c r="DF32" i="1"/>
  <c r="DF31" i="1"/>
  <c r="DF30" i="1"/>
  <c r="DG30" i="1" s="1" a="1"/>
  <c r="DG30" i="1" s="1"/>
  <c r="DF29" i="1"/>
  <c r="DF28" i="1"/>
  <c r="DG27" i="1"/>
  <c r="DG27" i="1" a="1"/>
  <c r="DF27" i="1"/>
  <c r="DF26" i="1"/>
  <c r="DF25" i="1"/>
  <c r="DF24" i="1"/>
  <c r="DG24" i="1" s="1" a="1"/>
  <c r="DG24" i="1" s="1"/>
  <c r="DF23" i="1"/>
  <c r="DF22" i="1"/>
  <c r="DF21" i="1"/>
  <c r="DG21" i="1" s="1" a="1"/>
  <c r="DG21" i="1" s="1"/>
  <c r="DF20" i="1"/>
  <c r="DF19" i="1"/>
  <c r="DF18" i="1"/>
  <c r="DG18" i="1" s="1" a="1"/>
  <c r="DG18" i="1" s="1"/>
  <c r="DF17" i="1"/>
  <c r="DF16" i="1"/>
  <c r="DG15" i="1" a="1"/>
  <c r="DG15" i="1" s="1"/>
  <c r="DF15" i="1"/>
  <c r="DF14" i="1"/>
  <c r="DF13" i="1"/>
  <c r="DF12" i="1"/>
  <c r="DG12" i="1" s="1" a="1"/>
  <c r="DG12" i="1" s="1"/>
  <c r="DF11" i="1"/>
  <c r="DF10" i="1"/>
  <c r="DG9" i="1" a="1"/>
  <c r="DG9" i="1" s="1"/>
  <c r="DF9" i="1"/>
  <c r="DF8" i="1"/>
  <c r="DF7" i="1"/>
  <c r="DG6" i="1" a="1"/>
  <c r="DG6" i="1" s="1"/>
  <c r="DF6" i="1"/>
  <c r="DF5" i="1"/>
  <c r="DF4" i="1"/>
  <c r="DF3" i="1"/>
  <c r="DG3" i="1" s="1" a="1"/>
  <c r="D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<sst xmlns="http://schemas.openxmlformats.org/spreadsheetml/2006/main" count="434" uniqueCount="225">
  <si>
    <t>윌로펌프백화점</t>
  </si>
  <si>
    <t>오아시스 펌프</t>
  </si>
  <si>
    <t>서울피엠</t>
  </si>
  <si>
    <t>펌프365</t>
  </si>
  <si>
    <t>윌로펌프총판</t>
  </si>
  <si>
    <t>펌프굿</t>
  </si>
  <si>
    <t>나인티에스</t>
  </si>
  <si>
    <t>펌프파트너</t>
  </si>
  <si>
    <t>이엔지마켓</t>
  </si>
  <si>
    <t>따뜻함</t>
  </si>
  <si>
    <t>펌프산업</t>
  </si>
  <si>
    <t>워터테크</t>
  </si>
  <si>
    <t>펌프닷컴</t>
  </si>
  <si>
    <t>윌로프로</t>
  </si>
  <si>
    <t>샌프란시스코2</t>
  </si>
  <si>
    <t>pump-damoa</t>
  </si>
  <si>
    <t>서울펌프몰</t>
  </si>
  <si>
    <t>윌로공식 SKS윌로펌프</t>
  </si>
  <si>
    <t>수중모터주식회사</t>
  </si>
  <si>
    <t>시대몰</t>
  </si>
  <si>
    <t>펌프프렌드</t>
  </si>
  <si>
    <t>윌로펌프마켓</t>
  </si>
  <si>
    <t>윌로종합</t>
  </si>
  <si>
    <t>윌로펌프모터</t>
  </si>
  <si>
    <t>이피컴퍼니</t>
  </si>
  <si>
    <t>EP COMPANY</t>
  </si>
  <si>
    <t>펌프몰</t>
  </si>
  <si>
    <t>윌로펌프온라인쇼핑몰</t>
  </si>
  <si>
    <t>주식회사 리텍솔루션</t>
  </si>
  <si>
    <t>주식회사 세종종합상사</t>
  </si>
  <si>
    <t>여담고</t>
  </si>
  <si>
    <t>주식회사 투빈</t>
  </si>
  <si>
    <t>펌프의 모든 것</t>
  </si>
  <si>
    <t>펌프뱅크</t>
  </si>
  <si>
    <t>펌스pums</t>
  </si>
  <si>
    <t>펌프탑</t>
  </si>
  <si>
    <t>윈디샵</t>
  </si>
  <si>
    <t>신세계몰</t>
  </si>
  <si>
    <t>광명상사</t>
  </si>
  <si>
    <t>신한일전기공식인증몰</t>
  </si>
  <si>
    <t>펌프마스터</t>
  </si>
  <si>
    <t>11번가</t>
  </si>
  <si>
    <t>쿠팡</t>
  </si>
  <si>
    <t>G마켓</t>
  </si>
  <si>
    <t>인터파크쇼핑</t>
  </si>
  <si>
    <t>옥션</t>
  </si>
  <si>
    <t>iMarket</t>
  </si>
  <si>
    <t>한국펌프기술</t>
  </si>
  <si>
    <t>큰바람</t>
  </si>
  <si>
    <t>오케이펌프</t>
  </si>
  <si>
    <t>펌프스토리</t>
  </si>
  <si>
    <t>엘브이유통</t>
  </si>
  <si>
    <t>서우기업</t>
    <phoneticPr fontId="3" type="noConversion"/>
  </si>
  <si>
    <t>펌프샵</t>
  </si>
  <si>
    <t>하나테크샵</t>
  </si>
  <si>
    <t>예스상사</t>
  </si>
  <si>
    <t>펌프천국</t>
  </si>
  <si>
    <t>펌프맨몰</t>
  </si>
  <si>
    <t>DAEJINSA</t>
  </si>
  <si>
    <t>나비상사</t>
  </si>
  <si>
    <t>펌프랜드</t>
  </si>
  <si>
    <t>스토아시스</t>
  </si>
  <si>
    <t>글로벌펌프시스템</t>
  </si>
  <si>
    <t>한일파워샵</t>
  </si>
  <si>
    <t>어니스툴</t>
  </si>
  <si>
    <t>지에스툴몰</t>
  </si>
  <si>
    <t>펌프마트</t>
  </si>
  <si>
    <t>펌프왕</t>
  </si>
  <si>
    <t>공구중독</t>
  </si>
  <si>
    <t>한일전기쇼핑몰</t>
  </si>
  <si>
    <t>우리엔텍</t>
  </si>
  <si>
    <t>신용툴</t>
  </si>
  <si>
    <t>윌로펌프서비스</t>
  </si>
  <si>
    <t>베스트공구몰</t>
  </si>
  <si>
    <t>아리랑툴스</t>
  </si>
  <si>
    <t>한일엠앤피</t>
  </si>
  <si>
    <t>라인상사</t>
  </si>
  <si>
    <t>kb종합메탈</t>
  </si>
  <si>
    <t>예창펌프.모터</t>
  </si>
  <si>
    <t>수중펌프 쇼핑몰</t>
  </si>
  <si>
    <t>오피스플러스</t>
  </si>
  <si>
    <t>태영펌프산업</t>
  </si>
  <si>
    <t>명인코리아</t>
  </si>
  <si>
    <t>롯데ON</t>
  </si>
  <si>
    <t>펌프앤펌프</t>
  </si>
  <si>
    <t>체라의몰</t>
  </si>
  <si>
    <t>한국메가엠</t>
  </si>
  <si>
    <t>프로몰</t>
  </si>
  <si>
    <t>골든브로와 종합펌프</t>
  </si>
  <si>
    <t>예스펌프</t>
  </si>
  <si>
    <t>대산공구</t>
  </si>
  <si>
    <t>글로벌엠알오닷컴</t>
  </si>
  <si>
    <t>어구종합마켓</t>
  </si>
  <si>
    <t>대양에너지</t>
  </si>
  <si>
    <t>모터펌프</t>
  </si>
  <si>
    <t>펌프모아 Pumpmoa</t>
  </si>
  <si>
    <t>두리스토아</t>
  </si>
  <si>
    <t>Pumpix 펌픽스</t>
  </si>
  <si>
    <t>지에스파워펌프</t>
  </si>
  <si>
    <t>시드니market</t>
  </si>
  <si>
    <t>나비엠알오</t>
  </si>
  <si>
    <t>펌프스토어</t>
  </si>
  <si>
    <t>밸브상사</t>
  </si>
  <si>
    <t>채움수도상사</t>
  </si>
  <si>
    <t>모터베이몰</t>
  </si>
  <si>
    <t>한국밸브</t>
  </si>
  <si>
    <t>영진수도상사</t>
  </si>
  <si>
    <t>최저가</t>
    <phoneticPr fontId="3" type="noConversion"/>
  </si>
  <si>
    <t>모델명 / 판매처&amp;대리점</t>
  </si>
  <si>
    <t>LG윌로펌프</t>
  </si>
  <si>
    <t>경동기전</t>
  </si>
  <si>
    <t>고강C&amp;P</t>
  </si>
  <si>
    <t>광진종합상사</t>
  </si>
  <si>
    <t>굿펌프</t>
  </si>
  <si>
    <t>대림상사</t>
  </si>
  <si>
    <t>대영상사</t>
  </si>
  <si>
    <t>대풍상사</t>
  </si>
  <si>
    <t>미라클YT펌프</t>
  </si>
  <si>
    <t>삼흥E&amp;P</t>
  </si>
  <si>
    <t>서울종합펌프</t>
  </si>
  <si>
    <t>서울펌프랜드</t>
  </si>
  <si>
    <t>세광사</t>
  </si>
  <si>
    <t>시대상사</t>
  </si>
  <si>
    <t>에스에이치테크</t>
  </si>
  <si>
    <t>엘지산업</t>
  </si>
  <si>
    <t>윌로종합상사 영천</t>
  </si>
  <si>
    <t>이조</t>
  </si>
  <si>
    <t>전진</t>
  </si>
  <si>
    <t>카토건설중기</t>
  </si>
  <si>
    <t>투빈</t>
  </si>
  <si>
    <t>퍼맥스</t>
  </si>
  <si>
    <t>펌스</t>
  </si>
  <si>
    <t>하경상사</t>
  </si>
  <si>
    <t>희성산업</t>
  </si>
  <si>
    <t>확인필요</t>
  </si>
  <si>
    <t>케이상사</t>
  </si>
  <si>
    <t>부안상사</t>
  </si>
  <si>
    <t>하나테크</t>
  </si>
  <si>
    <t>논산한일</t>
  </si>
  <si>
    <t>펌프맨</t>
  </si>
  <si>
    <t>대진사</t>
  </si>
  <si>
    <t>주식회사 태백금속</t>
  </si>
  <si>
    <t>신진기공사</t>
  </si>
  <si>
    <t>명신상사</t>
  </si>
  <si>
    <t>지에스툴</t>
  </si>
  <si>
    <t>우리원테크</t>
  </si>
  <si>
    <t>대성상사</t>
  </si>
  <si>
    <t>신용종합상사</t>
  </si>
  <si>
    <t>엠피엠(MPM)</t>
  </si>
  <si>
    <t>아리랑공구주식회사</t>
  </si>
  <si>
    <t>린나이보일러</t>
  </si>
  <si>
    <t>한일종합상사</t>
  </si>
  <si>
    <t>큐브릿지</t>
  </si>
  <si>
    <t>만능깡두</t>
  </si>
  <si>
    <t>부산대한전기</t>
  </si>
  <si>
    <t>대산종합상사</t>
  </si>
  <si>
    <t>글로벌엠알오</t>
  </si>
  <si>
    <t>웅부이엔지</t>
  </si>
  <si>
    <t>승진사</t>
  </si>
  <si>
    <t>두리종합상사</t>
  </si>
  <si>
    <t>엠시디알</t>
  </si>
  <si>
    <t>시드니마켓</t>
  </si>
  <si>
    <t>신동수</t>
  </si>
  <si>
    <t>김규만</t>
  </si>
  <si>
    <t>최저가격</t>
    <phoneticPr fontId="3" type="noConversion"/>
  </si>
  <si>
    <t>c2 or WILO</t>
    <phoneticPr fontId="3" type="noConversion"/>
  </si>
  <si>
    <t>PW-952LMA</t>
  </si>
  <si>
    <t>최저가</t>
  </si>
  <si>
    <t>인터넷 권장가</t>
  </si>
  <si>
    <t>DC율</t>
  </si>
  <si>
    <t>PW-601LMA</t>
  </si>
  <si>
    <t>PW-600SMA</t>
  </si>
  <si>
    <t>PW-600M</t>
  </si>
  <si>
    <t>PW-350SMA</t>
  </si>
  <si>
    <t>PW-350M</t>
  </si>
  <si>
    <t>PW-200SMA</t>
  </si>
  <si>
    <t>PW-200M</t>
  </si>
  <si>
    <t>PU-S604M</t>
  </si>
  <si>
    <t>PU-S600M</t>
  </si>
  <si>
    <t>PU-951M</t>
  </si>
  <si>
    <t>PU-950M</t>
  </si>
  <si>
    <t>PU-651M</t>
  </si>
  <si>
    <t>PU-602M</t>
  </si>
  <si>
    <t>PU-350M</t>
  </si>
  <si>
    <t>PH-K043M</t>
  </si>
  <si>
    <t>PH-080M</t>
  </si>
  <si>
    <t>PH-046M</t>
  </si>
  <si>
    <t>PH-045M</t>
  </si>
  <si>
    <t>PDV-A950MA</t>
  </si>
  <si>
    <t>PDV-A950M</t>
  </si>
  <si>
    <t>PDV-A600M</t>
  </si>
  <si>
    <t>PDV-952I</t>
  </si>
  <si>
    <t>PDV-950MA</t>
  </si>
  <si>
    <t>PDV-950M</t>
  </si>
  <si>
    <t>PDV-400MA</t>
  </si>
  <si>
    <t>PDV-400M</t>
  </si>
  <si>
    <t>PDV-300MA</t>
  </si>
  <si>
    <t>PDV-300M</t>
  </si>
  <si>
    <t>PDN-1405I</t>
  </si>
  <si>
    <t>PD-L901MA</t>
  </si>
  <si>
    <t>PD-L901M</t>
  </si>
  <si>
    <t>PD-H953MA</t>
  </si>
  <si>
    <t>PD-H953M</t>
  </si>
  <si>
    <t>PD-A951MA</t>
  </si>
  <si>
    <t>PD-A951M</t>
  </si>
  <si>
    <t>PD-A601MA</t>
  </si>
  <si>
    <t>PD-A601M</t>
  </si>
  <si>
    <t>PD-951MA</t>
  </si>
  <si>
    <t>PD-951M</t>
  </si>
  <si>
    <t>PD-401MA</t>
  </si>
  <si>
    <t>PD-401M</t>
  </si>
  <si>
    <t>PD-350MLA</t>
  </si>
  <si>
    <t>PD-350MA</t>
  </si>
  <si>
    <t>PD-350M</t>
  </si>
  <si>
    <t>PD-200MLA</t>
  </si>
  <si>
    <t>PD-200MA</t>
  </si>
  <si>
    <t>PD-200M</t>
  </si>
  <si>
    <t>PD-1505I</t>
  </si>
  <si>
    <t>PB-S138MA</t>
  </si>
  <si>
    <t>PB-601SMA</t>
  </si>
  <si>
    <t>PB-600MA</t>
  </si>
  <si>
    <t>PB-410SMA</t>
  </si>
  <si>
    <t>PB-350MA</t>
  </si>
  <si>
    <t>평균 dc 율</t>
    <phoneticPr fontId="3" type="noConversion"/>
  </si>
  <si>
    <t>권장가 미만 개수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</si>
</sst>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\%"/>
    <numFmt numFmtId="177" formatCode="#,##0.0&quot;%&quot;"/>
    <numFmt numFmtId="178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9601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rgb="FFFF010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1" fontId="0" fillId="0" borderId="5" xfId="1" applyFont="1" applyBorder="1" applyAlignment="1">
      <alignment vertical="center"/>
    </xf>
    <xf numFmtId="41" fontId="0" fillId="0" borderId="4" xfId="1" applyFont="1" applyBorder="1" applyAlignment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41" fontId="0" fillId="0" borderId="9" xfId="1" applyFont="1" applyBorder="1" applyAlignment="1">
      <alignment vertical="center"/>
    </xf>
    <xf numFmtId="41" fontId="0" fillId="0" borderId="10" xfId="1" applyFont="1" applyBorder="1" applyAlignment="1">
      <alignment vertical="center"/>
    </xf>
    <xf numFmtId="0" fontId="0" fillId="0" borderId="6" xfId="0" applyBorder="1">
      <alignment vertical="center"/>
    </xf>
    <xf numFmtId="3" fontId="2" fillId="0" borderId="7" xfId="3" applyNumberFormat="1" applyBorder="1">
      <alignment vertical="center"/>
    </xf>
    <xf numFmtId="41" fontId="0" fillId="0" borderId="11" xfId="1" applyFont="1" applyBorder="1">
      <alignment vertical="center"/>
    </xf>
    <xf numFmtId="0" fontId="0" fillId="0" borderId="12" xfId="0" applyBorder="1">
      <alignment vertical="center"/>
    </xf>
    <xf numFmtId="3" fontId="0" fillId="0" borderId="7" xfId="0" applyNumberFormat="1" applyBorder="1">
      <alignment vertical="center"/>
    </xf>
    <xf numFmtId="41" fontId="0" fillId="0" borderId="13" xfId="1" applyFont="1" applyBorder="1">
      <alignment vertical="center"/>
    </xf>
    <xf numFmtId="0" fontId="0" fillId="0" borderId="14" xfId="0" applyBorder="1" applyAlignment="1">
      <alignment horizontal="center" vertical="center"/>
    </xf>
    <xf numFmtId="176" fontId="0" fillId="3" borderId="7" xfId="0" applyNumberFormat="1" applyFill="1" applyBorder="1">
      <alignment vertical="center"/>
    </xf>
    <xf numFmtId="177" fontId="0" fillId="0" borderId="13" xfId="1" applyNumberFormat="1" applyFont="1" applyBorder="1">
      <alignment vertical="center"/>
    </xf>
    <xf numFmtId="0" fontId="0" fillId="0" borderId="14" xfId="0" applyBorder="1">
      <alignment vertical="center"/>
    </xf>
    <xf numFmtId="176" fontId="0" fillId="4" borderId="7" xfId="0" applyNumberFormat="1" applyFill="1" applyBorder="1">
      <alignment vertical="center"/>
    </xf>
    <xf numFmtId="176" fontId="0" fillId="5" borderId="7" xfId="0" applyNumberFormat="1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76" fontId="0" fillId="4" borderId="17" xfId="0" applyNumberFormat="1" applyFill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178" fontId="0" fillId="0" borderId="21" xfId="2" applyNumberFormat="1" applyFont="1" applyBorder="1">
      <alignment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1st.co.kr/connect/Gateway.tmall?method=Xsite&amp;prdNo=3976648515&amp;tid=1000000061" TargetMode="External"/><Relationship Id="rId21" Type="http://schemas.openxmlformats.org/officeDocument/2006/relationships/hyperlink" Target="https://smartstore.naver.com/main/products/11264522258" TargetMode="External"/><Relationship Id="rId34" Type="http://schemas.openxmlformats.org/officeDocument/2006/relationships/hyperlink" Target="https://pump-shop.kr/product/detail.html?product_no=482&amp;cate_no=43&amp;display_group=1&amp;cafe_mkt=naver_ks&amp;mkt_in=Y&amp;ghost_mall_id=naver&amp;ref=naver_open" TargetMode="External"/><Relationship Id="rId42" Type="http://schemas.openxmlformats.org/officeDocument/2006/relationships/hyperlink" Target="https://smartstore.naver.com/main/products/11232210231" TargetMode="External"/><Relationship Id="rId47" Type="http://schemas.openxmlformats.org/officeDocument/2006/relationships/hyperlink" Target="https://smartstore.naver.com/main/products/7236410575" TargetMode="External"/><Relationship Id="rId50" Type="http://schemas.openxmlformats.org/officeDocument/2006/relationships/hyperlink" Target="https://smartstore.naver.com/main/products/7073557963" TargetMode="External"/><Relationship Id="rId55" Type="http://schemas.openxmlformats.org/officeDocument/2006/relationships/hyperlink" Target="https://smartstore.naver.com/main/products/2882841283" TargetMode="External"/><Relationship Id="rId63" Type="http://schemas.openxmlformats.org/officeDocument/2006/relationships/hyperlink" Target="https://smartstore.naver.com/main/products/6622586343" TargetMode="External"/><Relationship Id="rId7" Type="http://schemas.openxmlformats.org/officeDocument/2006/relationships/hyperlink" Target="https://smartstore.naver.com/main/products/130321818" TargetMode="External"/><Relationship Id="rId2" Type="http://schemas.openxmlformats.org/officeDocument/2006/relationships/hyperlink" Target="https://smartstore.naver.com/main/products/7636601843" TargetMode="External"/><Relationship Id="rId16" Type="http://schemas.openxmlformats.org/officeDocument/2006/relationships/hyperlink" Target="https://smartstore.naver.com/main/products/9541109781" TargetMode="External"/><Relationship Id="rId29" Type="http://schemas.openxmlformats.org/officeDocument/2006/relationships/hyperlink" Target="https://smartstore.naver.com/main/products/7624250029" TargetMode="External"/><Relationship Id="rId11" Type="http://schemas.openxmlformats.org/officeDocument/2006/relationships/hyperlink" Target="https://www.11st.co.kr/connect/Gateway.tmall?method=Xsite&amp;prdNo=7404387093&amp;tid=1000000061" TargetMode="External"/><Relationship Id="rId24" Type="http://schemas.openxmlformats.org/officeDocument/2006/relationships/hyperlink" Target="https://link.coupang.com/re/PCSNAVERPCSDP?pageKey=2250313571&amp;ctag=2250313571&amp;lptag=V83274503779&amp;itemId=2089020447&amp;vendorItemId=83274503779&amp;spec=10305199" TargetMode="External"/><Relationship Id="rId32" Type="http://schemas.openxmlformats.org/officeDocument/2006/relationships/hyperlink" Target="https://link.gmarket.co.kr/gate/pcs?item-no=4226836568&amp;sub-id=1003&amp;service-code=10000003&amp;lcd=100000076" TargetMode="External"/><Relationship Id="rId37" Type="http://schemas.openxmlformats.org/officeDocument/2006/relationships/hyperlink" Target="https://link.auction.co.kr/gate/pcs?item-no=C428299047&amp;sub-id=1&amp;service-code=10000003" TargetMode="External"/><Relationship Id="rId40" Type="http://schemas.openxmlformats.org/officeDocument/2006/relationships/hyperlink" Target="https://smartstore.naver.com/main/products/10984902487" TargetMode="External"/><Relationship Id="rId45" Type="http://schemas.openxmlformats.org/officeDocument/2006/relationships/hyperlink" Target="https://smartstore.naver.com/main/products/212882729" TargetMode="External"/><Relationship Id="rId53" Type="http://schemas.openxmlformats.org/officeDocument/2006/relationships/hyperlink" Target="https://smartstore.naver.com/main/products/210614803" TargetMode="External"/><Relationship Id="rId58" Type="http://schemas.openxmlformats.org/officeDocument/2006/relationships/hyperlink" Target="https://pump-shop.kr/product/detail.html?product_no=268&amp;cate_no=25&amp;display_group=1&amp;cafe_mkt=naver_ks&amp;mkt_in=Y&amp;ghost_mall_id=naver&amp;ref=naver_open" TargetMode="External"/><Relationship Id="rId66" Type="http://schemas.openxmlformats.org/officeDocument/2006/relationships/hyperlink" Target="https://link.coupang.com/re/PCSNAVERPCSDP?pageKey=1120562951&amp;ctag=1120562951&amp;lptag=V91874007236&amp;itemId=2086140241&amp;vendorItemId=91874007236&amp;spec=10305199" TargetMode="External"/><Relationship Id="rId5" Type="http://schemas.openxmlformats.org/officeDocument/2006/relationships/hyperlink" Target="https://smartstore.naver.com/main/products/201507539" TargetMode="External"/><Relationship Id="rId61" Type="http://schemas.openxmlformats.org/officeDocument/2006/relationships/hyperlink" Target="http://www.promall.co.kr/shop/goods/goods_view.php?goodsno=248742&amp;inflow=naver" TargetMode="External"/><Relationship Id="rId19" Type="http://schemas.openxmlformats.org/officeDocument/2006/relationships/hyperlink" Target="https://smartstore.naver.com/main/products/5649635880" TargetMode="External"/><Relationship Id="rId14" Type="http://schemas.openxmlformats.org/officeDocument/2006/relationships/hyperlink" Target="https://smartstore.naver.com/main/products/130331641" TargetMode="External"/><Relationship Id="rId22" Type="http://schemas.openxmlformats.org/officeDocument/2006/relationships/hyperlink" Target="https://smartstore.naver.com/main/products/7673001520" TargetMode="External"/><Relationship Id="rId27" Type="http://schemas.openxmlformats.org/officeDocument/2006/relationships/hyperlink" Target="https://link.gmarket.co.kr/gate/pcs?item-no=632749979&amp;sub-id=1003&amp;service-code=10000003&amp;lcd=100000076" TargetMode="External"/><Relationship Id="rId30" Type="http://schemas.openxmlformats.org/officeDocument/2006/relationships/hyperlink" Target="https://smartstore.naver.com/main/products/5965206640" TargetMode="External"/><Relationship Id="rId35" Type="http://schemas.openxmlformats.org/officeDocument/2006/relationships/hyperlink" Target="https://link.coupang.com/re/PCSNAVERPCSDP?pageKey=8544445620&amp;ctag=8544445620&amp;lptag=V91273039710&amp;itemId=24739560239&amp;vendorItemId=91273039710&amp;spec=10305199" TargetMode="External"/><Relationship Id="rId43" Type="http://schemas.openxmlformats.org/officeDocument/2006/relationships/hyperlink" Target="https://link.coupang.com/re/PCSNAVERPCSDP?pageKey=7478558901&amp;ctag=7478558901&amp;lptag=P7478558901&amp;itemId=19529488507&amp;vendorItemId=86637954320&amp;spec=10305199" TargetMode="External"/><Relationship Id="rId48" Type="http://schemas.openxmlformats.org/officeDocument/2006/relationships/hyperlink" Target="https://smartstore.naver.com/main/products/11328687413" TargetMode="External"/><Relationship Id="rId56" Type="http://schemas.openxmlformats.org/officeDocument/2006/relationships/hyperlink" Target="https://smartstore.naver.com/main/products/7636464060" TargetMode="External"/><Relationship Id="rId64" Type="http://schemas.openxmlformats.org/officeDocument/2006/relationships/hyperlink" Target="https://hlpump.kr/product/detail.html?product_no=611&amp;cate_no=143&amp;display_group=1&amp;cafe_mkt=naver_ks&amp;mkt_in=Y&amp;ghost_mall_id=naver&amp;ref=naver_open" TargetMode="External"/><Relationship Id="rId8" Type="http://schemas.openxmlformats.org/officeDocument/2006/relationships/hyperlink" Target="https://smartstore.naver.com/main/products/7472510978" TargetMode="External"/><Relationship Id="rId51" Type="http://schemas.openxmlformats.org/officeDocument/2006/relationships/hyperlink" Target="https://smartstore.naver.com/main/products/9541302503" TargetMode="External"/><Relationship Id="rId3" Type="http://schemas.openxmlformats.org/officeDocument/2006/relationships/hyperlink" Target="https://www.11st.co.kr/connect/Gateway.tmall?method=Xsite&amp;prdNo=54026166&amp;tid=1000000061" TargetMode="External"/><Relationship Id="rId12" Type="http://schemas.openxmlformats.org/officeDocument/2006/relationships/hyperlink" Target="https://link.coupang.com/re/PCSNAVERPCSDP?pageKey=6415256827&amp;ctag=6415256827&amp;lptag=I18235922936&amp;itemId=18235922936&amp;vendorItemId=91779246116&amp;spec=10305199" TargetMode="External"/><Relationship Id="rId17" Type="http://schemas.openxmlformats.org/officeDocument/2006/relationships/hyperlink" Target="https://pump-shop.kr/product/detail.html?product_no=1173&amp;cate_no=25&amp;display_group=1&amp;cafe_mkt=naver_ks&amp;mkt_in=Y&amp;ghost_mall_id=naver&amp;ref=naver_open" TargetMode="External"/><Relationship Id="rId25" Type="http://schemas.openxmlformats.org/officeDocument/2006/relationships/hyperlink" Target="https://smartstore.naver.com/main/products/5898706814" TargetMode="External"/><Relationship Id="rId33" Type="http://schemas.openxmlformats.org/officeDocument/2006/relationships/hyperlink" Target="https://link.auction.co.kr/gate/pcs?item-no=E805602710&amp;sub-id=1&amp;service-code=10000003" TargetMode="External"/><Relationship Id="rId38" Type="http://schemas.openxmlformats.org/officeDocument/2006/relationships/hyperlink" Target="https://pump-shop.kr/product/detail.html?product_no=476&amp;cate_no=43&amp;display_group=1&amp;cafe_mkt=naver_ks&amp;mkt_in=Y&amp;ghost_mall_id=naver&amp;ref=naver_open" TargetMode="External"/><Relationship Id="rId46" Type="http://schemas.openxmlformats.org/officeDocument/2006/relationships/hyperlink" Target="https://smartstore.naver.com/main/products/7668086919" TargetMode="External"/><Relationship Id="rId59" Type="http://schemas.openxmlformats.org/officeDocument/2006/relationships/hyperlink" Target="https://smartstore.naver.com/main/products/6622592076" TargetMode="External"/><Relationship Id="rId20" Type="http://schemas.openxmlformats.org/officeDocument/2006/relationships/hyperlink" Target="https://smartstore.naver.com/main/products/9539964999" TargetMode="External"/><Relationship Id="rId41" Type="http://schemas.openxmlformats.org/officeDocument/2006/relationships/hyperlink" Target="https://smartstore.naver.com/main/products/211854123" TargetMode="External"/><Relationship Id="rId54" Type="http://schemas.openxmlformats.org/officeDocument/2006/relationships/hyperlink" Target="https://smartstore.naver.com/main/products/7636921347" TargetMode="External"/><Relationship Id="rId62" Type="http://schemas.openxmlformats.org/officeDocument/2006/relationships/hyperlink" Target="https://smartstore.naver.com/main/products/9143579885" TargetMode="External"/><Relationship Id="rId1" Type="http://schemas.openxmlformats.org/officeDocument/2006/relationships/hyperlink" Target="https://link.coupang.com/re/PCSNAVERPCSDP?pageKey=1080126103&amp;ctag=1080126103&amp;lptag=I282192028&amp;itemId=282192028&amp;vendorItemId=3691336963&amp;spec=10305199" TargetMode="External"/><Relationship Id="rId6" Type="http://schemas.openxmlformats.org/officeDocument/2006/relationships/hyperlink" Target="https://smartstore.naver.com/main/products/9613224274" TargetMode="External"/><Relationship Id="rId15" Type="http://schemas.openxmlformats.org/officeDocument/2006/relationships/hyperlink" Target="https://smartstore.naver.com/main/products/7472489589" TargetMode="External"/><Relationship Id="rId23" Type="http://schemas.openxmlformats.org/officeDocument/2006/relationships/hyperlink" Target="https://www.11st.co.kr/connect/Gateway.tmall?method=Xsite&amp;prdNo=3840037892&amp;tid=1000000061" TargetMode="External"/><Relationship Id="rId28" Type="http://schemas.openxmlformats.org/officeDocument/2006/relationships/hyperlink" Target="https://pump-shop.kr/product/detail.html?product_no=486&amp;cate_no=84&amp;display_group=1&amp;cafe_mkt=naver_ks&amp;mkt_in=Y&amp;ghost_mall_id=naver&amp;ref=naver_open" TargetMode="External"/><Relationship Id="rId36" Type="http://schemas.openxmlformats.org/officeDocument/2006/relationships/hyperlink" Target="https://link.gmarket.co.kr/gate/pcs?item-no=2235261129&amp;sub-id=1003&amp;service-code=10000003&amp;lcd=100000076" TargetMode="External"/><Relationship Id="rId49" Type="http://schemas.openxmlformats.org/officeDocument/2006/relationships/hyperlink" Target="https://link.coupang.com/re/PCSNAVERPCSDP?pageKey=131067963&amp;ctag=131067963&amp;lptag=I19141975755&amp;itemId=19141975755&amp;vendorItemId=89750054644&amp;spec=10305199" TargetMode="External"/><Relationship Id="rId57" Type="http://schemas.openxmlformats.org/officeDocument/2006/relationships/hyperlink" Target="https://link.coupang.com/re/PCSNAVERPCSDP?pageKey=2125357151&amp;ctag=2125357151&amp;lptag=l74888282003&amp;itemId=8834070288&amp;vendorItemId=5321679324&amp;spec=10305199" TargetMode="External"/><Relationship Id="rId10" Type="http://schemas.openxmlformats.org/officeDocument/2006/relationships/hyperlink" Target="https://smartstore.naver.com/main/products/201532470" TargetMode="External"/><Relationship Id="rId31" Type="http://schemas.openxmlformats.org/officeDocument/2006/relationships/hyperlink" Target="https://www.11st.co.kr/connect/Gateway.tmall?method=Xsite&amp;prdNo=3835241805&amp;tid=1000000061" TargetMode="External"/><Relationship Id="rId44" Type="http://schemas.openxmlformats.org/officeDocument/2006/relationships/hyperlink" Target="https://pumpmall.org/product/detail.html?product_no=1592&amp;cate_no=105&amp;display_group=1&amp;cafe_mkt=naver_ks&amp;mkt_in=Y&amp;ghost_mall_id=naver&amp;ref=naver_open" TargetMode="External"/><Relationship Id="rId52" Type="http://schemas.openxmlformats.org/officeDocument/2006/relationships/hyperlink" Target="https://link.coupang.com/re/PCSNAVERPCSDP?pageKey=1116755736&amp;ctag=1116755736&amp;lptag=I21791362708&amp;itemId=21791362708&amp;vendorItemId=5329195450&amp;spec=10305199" TargetMode="External"/><Relationship Id="rId60" Type="http://schemas.openxmlformats.org/officeDocument/2006/relationships/hyperlink" Target="https://smartstore.naver.com/main/products/6622589232" TargetMode="External"/><Relationship Id="rId65" Type="http://schemas.openxmlformats.org/officeDocument/2006/relationships/hyperlink" Target="https://smartstore.naver.com/main/products/6622568139" TargetMode="External"/><Relationship Id="rId4" Type="http://schemas.openxmlformats.org/officeDocument/2006/relationships/hyperlink" Target="https://link.coupang.com/re/PCSNAVERPCSDP?pageKey=8358355708&amp;ctag=8358355708&amp;lptag=I24152971706&amp;itemId=24152971706&amp;vendorItemId=91171664809&amp;spec=10305199" TargetMode="External"/><Relationship Id="rId9" Type="http://schemas.openxmlformats.org/officeDocument/2006/relationships/hyperlink" Target="https://link.coupang.com/re/PCSNAVERPCSDP?pageKey=1084902014&amp;ctag=1084902014&amp;lptag=l660428832334&amp;itemId=33244863608&amp;vendorItemId=90463361585&amp;spec=10305199" TargetMode="External"/><Relationship Id="rId13" Type="http://schemas.openxmlformats.org/officeDocument/2006/relationships/hyperlink" Target="https://smartstore.naver.com/main/products/11359532692" TargetMode="External"/><Relationship Id="rId18" Type="http://schemas.openxmlformats.org/officeDocument/2006/relationships/hyperlink" Target="https://www.11st.co.kr/connect/Gateway.tmall?method=Xsite&amp;prdNo=7404339049&amp;tid=1000000061" TargetMode="External"/><Relationship Id="rId39" Type="http://schemas.openxmlformats.org/officeDocument/2006/relationships/hyperlink" Target="https://smartstore.naver.com/main/products/4783744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5FB6-E109-4330-919C-C5FE547E60CA}">
  <sheetPr codeName="Sheet583"/>
  <dimension ref="A1:DG166"/>
  <sheetViews>
    <sheetView tabSelected="1" zoomScale="70" zoomScaleNormal="70" workbookViewId="0">
      <pane xSplit="2" ySplit="2" topLeftCell="C126" activePane="bottomRight" state="frozen"/>
      <selection activeCell="AR4" sqref="AR4:AW161"/>
      <selection pane="topRight" activeCell="AR4" sqref="AR4:AW161"/>
      <selection pane="bottomLeft" activeCell="AR4" sqref="AR4:AW161"/>
      <selection pane="bottomRight" activeCell="B165" sqref="B165:B166"/>
    </sheetView>
  </sheetViews>
  <sheetFormatPr defaultRowHeight="16.5" x14ac:dyDescent="0.3"/>
  <cols>
    <col min="1" max="2" width="13.875" bestFit="1" customWidth="1"/>
    <col min="3" max="3" width="15.125" customWidth="1"/>
    <col min="4" max="4" width="13.875" customWidth="1"/>
    <col min="5" max="6" width="9.25" customWidth="1"/>
    <col min="7" max="7" width="13" customWidth="1"/>
    <col min="8" max="8" width="7.5" customWidth="1"/>
    <col min="9" max="11" width="11" customWidth="1"/>
    <col min="12" max="15" width="9.25" customWidth="1"/>
    <col min="16" max="16" width="13.125" customWidth="1"/>
    <col min="17" max="17" width="14.25" customWidth="1"/>
    <col min="18" max="18" width="13.5" customWidth="1"/>
    <col min="19" max="19" width="13" customWidth="1"/>
    <col min="20" max="20" width="21.375" customWidth="1"/>
    <col min="21" max="21" width="17.25" customWidth="1"/>
    <col min="22" max="22" width="9.25" customWidth="1"/>
    <col min="23" max="23" width="15.125" customWidth="1"/>
    <col min="24" max="24" width="13" customWidth="1"/>
    <col min="25" max="25" width="18" customWidth="1"/>
    <col min="26" max="26" width="13" customWidth="1"/>
    <col min="27" max="27" width="11" customWidth="1"/>
    <col min="28" max="28" width="14" customWidth="1"/>
    <col min="29" max="29" width="8.875" customWidth="1"/>
    <col min="30" max="30" width="21.375" customWidth="1"/>
    <col min="31" max="31" width="20" customWidth="1"/>
    <col min="32" max="32" width="22.125" customWidth="1"/>
    <col min="33" max="33" width="13" customWidth="1"/>
    <col min="34" max="34" width="13.875" customWidth="1"/>
    <col min="35" max="35" width="14.625" customWidth="1"/>
    <col min="36" max="36" width="9.25" customWidth="1"/>
    <col min="37" max="37" width="10.125" customWidth="1"/>
    <col min="38" max="41" width="9.25" customWidth="1"/>
    <col min="42" max="42" width="21.375" customWidth="1"/>
    <col min="43" max="43" width="11" customWidth="1"/>
    <col min="44" max="46" width="9.25" customWidth="1"/>
    <col min="47" max="47" width="13" customWidth="1"/>
    <col min="48" max="48" width="9.25" customWidth="1"/>
    <col min="49" max="49" width="8" customWidth="1"/>
    <col min="50" max="50" width="13" customWidth="1"/>
    <col min="51" max="54" width="11" customWidth="1"/>
    <col min="55" max="55" width="11" bestFit="1" customWidth="1"/>
    <col min="56" max="56" width="9.25" customWidth="1"/>
    <col min="57" max="57" width="11" customWidth="1"/>
    <col min="58" max="60" width="9.25" customWidth="1"/>
    <col min="61" max="61" width="10.25" customWidth="1"/>
    <col min="62" max="62" width="18" customWidth="1"/>
    <col min="63" max="63" width="9.25" customWidth="1"/>
    <col min="64" max="64" width="11" customWidth="1"/>
    <col min="65" max="65" width="17.25" customWidth="1"/>
    <col min="66" max="66" width="11" customWidth="1"/>
    <col min="67" max="67" width="9.25" customWidth="1"/>
    <col min="68" max="69" width="11" customWidth="1"/>
    <col min="70" max="70" width="8.875" customWidth="1"/>
    <col min="71" max="71" width="9.25" customWidth="1"/>
    <col min="72" max="72" width="15.125" customWidth="1"/>
    <col min="73" max="73" width="9.25" customWidth="1"/>
    <col min="74" max="74" width="13" customWidth="1"/>
    <col min="75" max="75" width="15.125" customWidth="1"/>
    <col min="76" max="76" width="13.375" customWidth="1"/>
    <col min="77" max="77" width="19.25" customWidth="1"/>
    <col min="78" max="78" width="11" customWidth="1"/>
    <col min="79" max="79" width="9.25" customWidth="1"/>
    <col min="80" max="80" width="13" customWidth="1"/>
    <col min="81" max="81" width="13.5" customWidth="1"/>
    <col min="82" max="82" width="15.875" customWidth="1"/>
    <col min="83" max="109" width="8.75" customWidth="1"/>
    <col min="110" max="110" width="13.5" bestFit="1" customWidth="1"/>
    <col min="111" max="111" width="12.875" customWidth="1"/>
    <col min="112" max="112" width="12" customWidth="1"/>
  </cols>
  <sheetData>
    <row r="1" spans="1:111" ht="17.25" thickTop="1" x14ac:dyDescent="0.3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4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3" t="s">
        <v>86</v>
      </c>
      <c r="CL1" s="3" t="s">
        <v>87</v>
      </c>
      <c r="CM1" s="3" t="s">
        <v>88</v>
      </c>
      <c r="CN1" s="3" t="s">
        <v>89</v>
      </c>
      <c r="CO1" s="3" t="s">
        <v>90</v>
      </c>
      <c r="CP1" s="3" t="s">
        <v>91</v>
      </c>
      <c r="CQ1" s="3" t="s">
        <v>92</v>
      </c>
      <c r="CR1" s="3" t="s">
        <v>93</v>
      </c>
      <c r="CS1" s="3" t="s">
        <v>94</v>
      </c>
      <c r="CT1" s="3" t="s">
        <v>95</v>
      </c>
      <c r="CU1" s="3" t="s">
        <v>96</v>
      </c>
      <c r="CV1" s="3" t="s">
        <v>97</v>
      </c>
      <c r="CW1" s="3" t="s">
        <v>98</v>
      </c>
      <c r="CX1" s="3" t="s">
        <v>99</v>
      </c>
      <c r="CY1" s="3" t="s">
        <v>100</v>
      </c>
      <c r="CZ1" s="3" t="s">
        <v>101</v>
      </c>
      <c r="DA1" s="3" t="s">
        <v>102</v>
      </c>
      <c r="DB1" s="3" t="s">
        <v>103</v>
      </c>
      <c r="DC1" s="3" t="s">
        <v>104</v>
      </c>
      <c r="DD1" s="3" t="s">
        <v>105</v>
      </c>
      <c r="DE1" s="5" t="s">
        <v>106</v>
      </c>
      <c r="DF1" s="6" t="s">
        <v>107</v>
      </c>
      <c r="DG1" s="7"/>
    </row>
    <row r="2" spans="1:111" ht="17.25" thickBot="1" x14ac:dyDescent="0.35">
      <c r="A2" s="8" t="s">
        <v>108</v>
      </c>
      <c r="B2" s="9"/>
      <c r="C2" s="10" t="s">
        <v>109</v>
      </c>
      <c r="D2" s="10" t="s">
        <v>110</v>
      </c>
      <c r="E2" s="10" t="s">
        <v>110</v>
      </c>
      <c r="F2" s="10" t="s">
        <v>111</v>
      </c>
      <c r="G2" s="10" t="s">
        <v>112</v>
      </c>
      <c r="H2" s="10" t="s">
        <v>113</v>
      </c>
      <c r="I2" s="10" t="s">
        <v>6</v>
      </c>
      <c r="J2" s="10" t="s">
        <v>6</v>
      </c>
      <c r="K2" s="10" t="s">
        <v>114</v>
      </c>
      <c r="L2" s="10" t="s">
        <v>115</v>
      </c>
      <c r="M2" s="10" t="s">
        <v>116</v>
      </c>
      <c r="N2" s="10" t="s">
        <v>116</v>
      </c>
      <c r="O2" s="10" t="s">
        <v>116</v>
      </c>
      <c r="P2" s="10" t="s">
        <v>117</v>
      </c>
      <c r="Q2" s="10" t="s">
        <v>118</v>
      </c>
      <c r="R2" s="10" t="s">
        <v>119</v>
      </c>
      <c r="S2" s="10" t="s">
        <v>120</v>
      </c>
      <c r="T2" s="10" t="s">
        <v>121</v>
      </c>
      <c r="U2" s="10" t="s">
        <v>18</v>
      </c>
      <c r="V2" s="10" t="s">
        <v>122</v>
      </c>
      <c r="W2" s="10" t="s">
        <v>123</v>
      </c>
      <c r="X2" s="10" t="s">
        <v>124</v>
      </c>
      <c r="Y2" s="10" t="s">
        <v>125</v>
      </c>
      <c r="Z2" s="10" t="s">
        <v>126</v>
      </c>
      <c r="AA2" s="10" t="s">
        <v>24</v>
      </c>
      <c r="AB2" s="10" t="s">
        <v>24</v>
      </c>
      <c r="AC2" s="10" t="s">
        <v>127</v>
      </c>
      <c r="AD2" s="10" t="s">
        <v>127</v>
      </c>
      <c r="AE2" s="10" t="s">
        <v>28</v>
      </c>
      <c r="AF2" s="10" t="s">
        <v>29</v>
      </c>
      <c r="AG2" s="10" t="s">
        <v>128</v>
      </c>
      <c r="AH2" s="10" t="s">
        <v>129</v>
      </c>
      <c r="AI2" s="10" t="s">
        <v>129</v>
      </c>
      <c r="AJ2" s="10" t="s">
        <v>130</v>
      </c>
      <c r="AK2" s="10" t="s">
        <v>131</v>
      </c>
      <c r="AL2" s="10" t="s">
        <v>132</v>
      </c>
      <c r="AM2" s="10" t="s">
        <v>132</v>
      </c>
      <c r="AN2" s="10" t="s">
        <v>132</v>
      </c>
      <c r="AO2" s="10" t="s">
        <v>38</v>
      </c>
      <c r="AP2" s="10" t="s">
        <v>38</v>
      </c>
      <c r="AQ2" s="10" t="s">
        <v>133</v>
      </c>
      <c r="AR2" s="10" t="s">
        <v>134</v>
      </c>
      <c r="AS2" s="10" t="s">
        <v>134</v>
      </c>
      <c r="AT2" s="10" t="s">
        <v>134</v>
      </c>
      <c r="AU2" s="10" t="s">
        <v>134</v>
      </c>
      <c r="AV2" s="10" t="s">
        <v>134</v>
      </c>
      <c r="AW2" s="10" t="s">
        <v>46</v>
      </c>
      <c r="AX2" s="10" t="s">
        <v>47</v>
      </c>
      <c r="AY2" s="10" t="s">
        <v>49</v>
      </c>
      <c r="AZ2" s="10" t="s">
        <v>49</v>
      </c>
      <c r="BA2" s="10" t="s">
        <v>135</v>
      </c>
      <c r="BB2" s="10" t="s">
        <v>136</v>
      </c>
      <c r="BC2" s="10" t="s">
        <v>52</v>
      </c>
      <c r="BD2" s="10" t="s">
        <v>136</v>
      </c>
      <c r="BE2" s="10" t="s">
        <v>137</v>
      </c>
      <c r="BF2" s="10" t="s">
        <v>55</v>
      </c>
      <c r="BG2" s="10" t="s">
        <v>138</v>
      </c>
      <c r="BH2" s="10" t="s">
        <v>139</v>
      </c>
      <c r="BI2" s="10" t="s">
        <v>140</v>
      </c>
      <c r="BJ2" s="10" t="s">
        <v>141</v>
      </c>
      <c r="BK2" s="10" t="s">
        <v>60</v>
      </c>
      <c r="BL2" s="10" t="s">
        <v>142</v>
      </c>
      <c r="BM2" s="10" t="s">
        <v>62</v>
      </c>
      <c r="BN2" s="10" t="s">
        <v>143</v>
      </c>
      <c r="BO2" s="10" t="s">
        <v>64</v>
      </c>
      <c r="BP2" s="10" t="s">
        <v>144</v>
      </c>
      <c r="BQ2" s="10" t="s">
        <v>145</v>
      </c>
      <c r="BR2" s="10" t="s">
        <v>67</v>
      </c>
      <c r="BS2" s="10" t="s">
        <v>146</v>
      </c>
      <c r="BT2" s="10"/>
      <c r="BU2" s="10" t="s">
        <v>70</v>
      </c>
      <c r="BV2" s="10" t="s">
        <v>147</v>
      </c>
      <c r="BW2" s="10"/>
      <c r="BX2" s="10" t="s">
        <v>148</v>
      </c>
      <c r="BY2" s="10" t="s">
        <v>149</v>
      </c>
      <c r="BZ2" s="10" t="s">
        <v>75</v>
      </c>
      <c r="CA2" s="10" t="s">
        <v>76</v>
      </c>
      <c r="CB2" s="10" t="s">
        <v>150</v>
      </c>
      <c r="CC2" s="10" t="s">
        <v>78</v>
      </c>
      <c r="CD2" s="10" t="s">
        <v>151</v>
      </c>
      <c r="CE2" s="10" t="s">
        <v>152</v>
      </c>
      <c r="CF2" s="10" t="s">
        <v>81</v>
      </c>
      <c r="CG2" s="10" t="s">
        <v>82</v>
      </c>
      <c r="CH2" s="10" t="s">
        <v>83</v>
      </c>
      <c r="CI2" s="10" t="s">
        <v>84</v>
      </c>
      <c r="CJ2" s="10" t="s">
        <v>153</v>
      </c>
      <c r="CK2" s="10" t="s">
        <v>86</v>
      </c>
      <c r="CL2" s="10" t="s">
        <v>87</v>
      </c>
      <c r="CM2" s="10" t="s">
        <v>154</v>
      </c>
      <c r="CN2" s="10" t="s">
        <v>89</v>
      </c>
      <c r="CO2" s="10" t="s">
        <v>155</v>
      </c>
      <c r="CP2" s="10" t="s">
        <v>156</v>
      </c>
      <c r="CQ2" s="10" t="s">
        <v>92</v>
      </c>
      <c r="CR2" s="10" t="s">
        <v>93</v>
      </c>
      <c r="CS2" s="10" t="s">
        <v>157</v>
      </c>
      <c r="CT2" s="10" t="s">
        <v>158</v>
      </c>
      <c r="CU2" s="10" t="s">
        <v>159</v>
      </c>
      <c r="CV2" s="10" t="s">
        <v>160</v>
      </c>
      <c r="CW2" s="10" t="s">
        <v>160</v>
      </c>
      <c r="CX2" s="10" t="s">
        <v>161</v>
      </c>
      <c r="CY2" s="10" t="s">
        <v>100</v>
      </c>
      <c r="CZ2" s="10" t="s">
        <v>60</v>
      </c>
      <c r="DA2" s="10" t="s">
        <v>102</v>
      </c>
      <c r="DB2" s="10" t="s">
        <v>103</v>
      </c>
      <c r="DC2" s="10" t="s">
        <v>104</v>
      </c>
      <c r="DD2" s="10" t="s">
        <v>162</v>
      </c>
      <c r="DE2" s="11" t="s">
        <v>163</v>
      </c>
      <c r="DF2" s="12" t="s">
        <v>164</v>
      </c>
      <c r="DG2" s="13" t="s">
        <v>165</v>
      </c>
    </row>
    <row r="3" spans="1:111" x14ac:dyDescent="0.3">
      <c r="A3" s="14" t="s">
        <v>166</v>
      </c>
      <c r="B3" s="10" t="s">
        <v>167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5">
        <v>513000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1"/>
      <c r="DF3" s="16">
        <f t="shared" ref="DF3:DF66" si="0">MIN(C3:DE3)</f>
        <v>513000</v>
      </c>
      <c r="DG3" s="17" t="str" cm="1">
        <f t="array" ref="DG3">IFERROR(_xlfn.XLOOKUP(DF3,$B3:DE3,$B$1:$DE$1,"wilo"),"wilo")</f>
        <v>쿠팡</v>
      </c>
    </row>
    <row r="4" spans="1:111" ht="16.5" customHeight="1" x14ac:dyDescent="0.3">
      <c r="A4" s="14"/>
      <c r="B4" s="10" t="s">
        <v>168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8">
        <v>514000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1"/>
      <c r="DF4" s="19">
        <f t="shared" si="0"/>
        <v>514000</v>
      </c>
      <c r="DG4" s="20"/>
    </row>
    <row r="5" spans="1:111" ht="16.5" customHeight="1" x14ac:dyDescent="0.3">
      <c r="A5" s="14"/>
      <c r="B5" s="10" t="s">
        <v>169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21">
        <v>20.143212951432137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1"/>
      <c r="DF5" s="22">
        <f>MAX(C5:DE5)</f>
        <v>20.143212951432137</v>
      </c>
      <c r="DG5" s="20"/>
    </row>
    <row r="6" spans="1:111" x14ac:dyDescent="0.3">
      <c r="A6" s="14" t="s">
        <v>170</v>
      </c>
      <c r="B6" s="10" t="s">
        <v>167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5">
        <v>392000</v>
      </c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1"/>
      <c r="DF6" s="16">
        <f t="shared" si="0"/>
        <v>392000</v>
      </c>
      <c r="DG6" s="23" t="str" cm="1">
        <f t="array" ref="DG6">IFERROR(_xlfn.XLOOKUP(DF6,$B6:DE6,$B$1:$DE$1,"wilo"),"wilo")</f>
        <v>DAEJINSA</v>
      </c>
    </row>
    <row r="7" spans="1:111" ht="16.5" customHeight="1" x14ac:dyDescent="0.3">
      <c r="A7" s="14"/>
      <c r="B7" s="10" t="s">
        <v>168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8">
        <v>398000</v>
      </c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1"/>
      <c r="DF7" s="19">
        <f t="shared" si="0"/>
        <v>398000</v>
      </c>
      <c r="DG7" s="20"/>
    </row>
    <row r="8" spans="1:111" ht="16.5" customHeight="1" x14ac:dyDescent="0.3">
      <c r="A8" s="14"/>
      <c r="B8" s="10" t="s">
        <v>169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21">
        <v>21.158487530168951</v>
      </c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1"/>
      <c r="DF8" s="22">
        <f t="shared" ref="DF8" si="1">MAX(C8:DE8)</f>
        <v>21.158487530168951</v>
      </c>
      <c r="DG8" s="20"/>
    </row>
    <row r="9" spans="1:111" x14ac:dyDescent="0.3">
      <c r="A9" s="14" t="s">
        <v>171</v>
      </c>
      <c r="B9" s="10" t="s">
        <v>167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5">
        <v>251320</v>
      </c>
      <c r="AS9" s="15">
        <v>246100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5">
        <v>247950</v>
      </c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5">
        <v>255500</v>
      </c>
      <c r="BS9" s="10"/>
      <c r="BT9" s="15">
        <v>251300</v>
      </c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5">
        <v>255000</v>
      </c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1"/>
      <c r="DF9" s="16">
        <f t="shared" si="0"/>
        <v>246100</v>
      </c>
      <c r="DG9" s="23" t="str" cm="1">
        <f t="array" ref="DG9">IFERROR(_xlfn.XLOOKUP(DF9,$B9:DE9,$B$1:$DE$1,"wilo"),"wilo")</f>
        <v>쿠팡</v>
      </c>
    </row>
    <row r="10" spans="1:111" ht="16.5" customHeight="1" x14ac:dyDescent="0.3">
      <c r="A10" s="14"/>
      <c r="B10" s="10" t="s">
        <v>168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8">
        <v>261000</v>
      </c>
      <c r="AS10" s="18">
        <v>261000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8">
        <v>261000</v>
      </c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8">
        <v>261000</v>
      </c>
      <c r="BS10" s="10"/>
      <c r="BT10" s="18">
        <v>261000</v>
      </c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8">
        <v>261000</v>
      </c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1"/>
      <c r="DF10" s="19">
        <f t="shared" si="0"/>
        <v>261000</v>
      </c>
      <c r="DG10" s="20"/>
    </row>
    <row r="11" spans="1:111" ht="16.5" customHeight="1" x14ac:dyDescent="0.3">
      <c r="A11" s="14"/>
      <c r="B11" s="10" t="s">
        <v>169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24">
        <v>22.813267813267821</v>
      </c>
      <c r="AS11" s="24">
        <v>24.416461916461923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24">
        <v>23.848280098280103</v>
      </c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21">
        <v>21.529484029484035</v>
      </c>
      <c r="BS11" s="10"/>
      <c r="BT11" s="24">
        <v>22.819410319410327</v>
      </c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21">
        <v>21.68304668304669</v>
      </c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1"/>
      <c r="DF11" s="22">
        <f t="shared" ref="DF11" si="2">MAX(C11:DE11)</f>
        <v>24.416461916461923</v>
      </c>
      <c r="DG11" s="20"/>
    </row>
    <row r="12" spans="1:111" x14ac:dyDescent="0.3">
      <c r="A12" s="14" t="s">
        <v>172</v>
      </c>
      <c r="B12" s="10" t="s">
        <v>167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5">
        <v>225700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5">
        <v>219910</v>
      </c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1"/>
      <c r="DF12" s="16">
        <f t="shared" si="0"/>
        <v>219910</v>
      </c>
      <c r="DG12" s="23" t="str" cm="1">
        <f t="array" ref="DG12">IFERROR(_xlfn.XLOOKUP(DF12,$B12:DE12,$B$1:$DE$1,"wilo"),"wilo")</f>
        <v>펌프샵</v>
      </c>
    </row>
    <row r="13" spans="1:111" ht="16.5" customHeight="1" x14ac:dyDescent="0.3">
      <c r="A13" s="14"/>
      <c r="B13" s="10" t="s">
        <v>168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8">
        <v>231000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8">
        <v>231000</v>
      </c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1"/>
      <c r="DF13" s="19">
        <f t="shared" si="0"/>
        <v>231000</v>
      </c>
      <c r="DG13" s="20"/>
    </row>
    <row r="14" spans="1:111" ht="16.5" customHeight="1" x14ac:dyDescent="0.3">
      <c r="A14" s="14"/>
      <c r="B14" s="10" t="s">
        <v>169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21">
        <v>21.686328938237342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24">
        <v>23.695350451075647</v>
      </c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1"/>
      <c r="DF14" s="22">
        <f t="shared" ref="DF14" si="3">MAX(C14:DE14)</f>
        <v>23.695350451075647</v>
      </c>
      <c r="DG14" s="20"/>
    </row>
    <row r="15" spans="1:111" x14ac:dyDescent="0.3">
      <c r="A15" s="14" t="s">
        <v>173</v>
      </c>
      <c r="B15" s="10" t="s">
        <v>167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5">
        <v>192430</v>
      </c>
      <c r="AS15" s="15">
        <v>192070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5">
        <v>192000</v>
      </c>
      <c r="BS15" s="10"/>
      <c r="BT15" s="15">
        <v>191700</v>
      </c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5">
        <v>190000</v>
      </c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1"/>
      <c r="DF15" s="16">
        <f t="shared" si="0"/>
        <v>190000</v>
      </c>
      <c r="DG15" s="23" t="str" cm="1">
        <f t="array" ref="DG15">IFERROR(_xlfn.XLOOKUP(DF15,$B15:DE15,$B$1:$DE$1,"wilo"),"wilo")</f>
        <v>체라의몰</v>
      </c>
    </row>
    <row r="16" spans="1:111" ht="16.5" customHeight="1" x14ac:dyDescent="0.3">
      <c r="A16" s="14"/>
      <c r="B16" s="10" t="s">
        <v>168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8">
        <v>193000</v>
      </c>
      <c r="AS16" s="18">
        <v>193000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8">
        <v>193000</v>
      </c>
      <c r="BS16" s="10"/>
      <c r="BT16" s="18">
        <v>193000</v>
      </c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8">
        <v>193000</v>
      </c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1"/>
      <c r="DF16" s="19">
        <f t="shared" si="0"/>
        <v>193000</v>
      </c>
      <c r="DG16" s="20"/>
    </row>
    <row r="17" spans="1:111" ht="16.5" customHeight="1" x14ac:dyDescent="0.3">
      <c r="A17" s="14"/>
      <c r="B17" s="10" t="s">
        <v>169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21">
        <v>20.120381901203825</v>
      </c>
      <c r="AS17" s="21">
        <v>20.269821502698221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21">
        <v>20.298879202988797</v>
      </c>
      <c r="BS17" s="10"/>
      <c r="BT17" s="21">
        <v>20.423412204234129</v>
      </c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21">
        <v>21.129099211290999</v>
      </c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1"/>
      <c r="DF17" s="22">
        <f t="shared" ref="DF17" si="4">MAX(C17:DE17)</f>
        <v>21.129099211290999</v>
      </c>
      <c r="DG17" s="20"/>
    </row>
    <row r="18" spans="1:111" x14ac:dyDescent="0.3">
      <c r="A18" s="14" t="s">
        <v>174</v>
      </c>
      <c r="B18" s="10" t="s">
        <v>167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5">
        <v>187000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5">
        <v>179900</v>
      </c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1"/>
      <c r="DF18" s="16">
        <f t="shared" si="0"/>
        <v>179900</v>
      </c>
      <c r="DG18" s="23" t="str" cm="1">
        <f t="array" ref="DG18">IFERROR(_xlfn.XLOOKUP(DF18,$B18:DE18,$B$1:$DE$1,"wilo"),"wilo")</f>
        <v>펌프샵</v>
      </c>
    </row>
    <row r="19" spans="1:111" ht="16.5" customHeight="1" x14ac:dyDescent="0.3">
      <c r="A19" s="14"/>
      <c r="B19" s="10" t="s">
        <v>168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8">
        <v>188000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8">
        <v>188000</v>
      </c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1"/>
      <c r="DF19" s="19">
        <f t="shared" si="0"/>
        <v>188000</v>
      </c>
      <c r="DG19" s="20"/>
    </row>
    <row r="20" spans="1:111" ht="16.5" customHeight="1" x14ac:dyDescent="0.3">
      <c r="A20" s="14"/>
      <c r="B20" s="10" t="s">
        <v>169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21">
        <v>20.187793427230055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24">
        <v>23.218096457533083</v>
      </c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1"/>
      <c r="DF20" s="22">
        <f t="shared" ref="DF20" si="5">MAX(C20:DE20)</f>
        <v>23.218096457533083</v>
      </c>
      <c r="DG20" s="20"/>
    </row>
    <row r="21" spans="1:111" x14ac:dyDescent="0.3">
      <c r="A21" s="14" t="s">
        <v>175</v>
      </c>
      <c r="B21" s="10" t="s">
        <v>167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5">
        <v>161100</v>
      </c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5">
        <v>160000</v>
      </c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1"/>
      <c r="DF21" s="16">
        <f t="shared" si="0"/>
        <v>160000</v>
      </c>
      <c r="DG21" s="23" t="str" cm="1">
        <f t="array" ref="DG21">IFERROR(_xlfn.XLOOKUP(DF21,$B21:DE21,$B$1:$DE$1,"wilo"),"wilo")</f>
        <v>체라의몰</v>
      </c>
    </row>
    <row r="22" spans="1:111" ht="16.5" customHeight="1" x14ac:dyDescent="0.3">
      <c r="A22" s="14"/>
      <c r="B22" s="10" t="s">
        <v>168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8">
        <v>162000</v>
      </c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8">
        <v>162000</v>
      </c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1"/>
      <c r="DF22" s="19">
        <f t="shared" si="0"/>
        <v>162000</v>
      </c>
      <c r="DG22" s="20"/>
    </row>
    <row r="23" spans="1:111" ht="16.5" customHeight="1" x14ac:dyDescent="0.3">
      <c r="A23" s="14"/>
      <c r="B23" s="10" t="s">
        <v>169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21">
        <v>20.405138339920956</v>
      </c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21">
        <v>20.948616600790519</v>
      </c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1"/>
      <c r="DF23" s="22">
        <f t="shared" ref="DF23" si="6">MAX(C23:DE23)</f>
        <v>20.948616600790519</v>
      </c>
      <c r="DG23" s="20"/>
    </row>
    <row r="24" spans="1:111" ht="16.5" customHeight="1" x14ac:dyDescent="0.3">
      <c r="A24" s="14" t="s">
        <v>176</v>
      </c>
      <c r="B24" s="10" t="s">
        <v>167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1"/>
      <c r="DF24" s="16">
        <f t="shared" si="0"/>
        <v>0</v>
      </c>
      <c r="DG24" s="23" t="str" cm="1">
        <f t="array" ref="DG24">IFERROR(_xlfn.XLOOKUP(DF24,$B24:DE24,$B$1:$DE$1,"wilo"),"wilo")</f>
        <v>wilo</v>
      </c>
    </row>
    <row r="25" spans="1:111" ht="16.5" customHeight="1" x14ac:dyDescent="0.3">
      <c r="A25" s="14"/>
      <c r="B25" s="10" t="s">
        <v>168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1"/>
      <c r="DF25" s="19">
        <f t="shared" si="0"/>
        <v>0</v>
      </c>
      <c r="DG25" s="23"/>
    </row>
    <row r="26" spans="1:111" ht="16.5" customHeight="1" x14ac:dyDescent="0.3">
      <c r="A26" s="14"/>
      <c r="B26" s="10" t="s">
        <v>169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1"/>
      <c r="DF26" s="22">
        <f t="shared" ref="DF26" si="7">MAX(C26:DE26)</f>
        <v>0</v>
      </c>
      <c r="DG26" s="23"/>
    </row>
    <row r="27" spans="1:111" x14ac:dyDescent="0.3">
      <c r="A27" s="14" t="s">
        <v>177</v>
      </c>
      <c r="B27" s="10" t="s">
        <v>167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5">
        <v>233000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5">
        <v>233000</v>
      </c>
      <c r="DA27" s="10"/>
      <c r="DB27" s="10"/>
      <c r="DC27" s="10"/>
      <c r="DD27" s="10"/>
      <c r="DE27" s="11"/>
      <c r="DF27" s="16">
        <f t="shared" si="0"/>
        <v>233000</v>
      </c>
      <c r="DG27" s="23" t="str" cm="1">
        <f t="array" ref="DG27">IFERROR(_xlfn.XLOOKUP(DF27,$B27:DE27,$B$1:$DE$1,"wilo"),"wilo")</f>
        <v>서울펌프몰</v>
      </c>
    </row>
    <row r="28" spans="1:111" ht="16.5" customHeight="1" x14ac:dyDescent="0.3">
      <c r="A28" s="14"/>
      <c r="B28" s="10" t="s">
        <v>168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8">
        <v>234000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8">
        <v>234000</v>
      </c>
      <c r="DA28" s="10"/>
      <c r="DB28" s="10"/>
      <c r="DC28" s="10"/>
      <c r="DD28" s="10"/>
      <c r="DE28" s="11"/>
      <c r="DF28" s="19">
        <f t="shared" si="0"/>
        <v>234000</v>
      </c>
      <c r="DG28" s="20"/>
    </row>
    <row r="29" spans="1:111" ht="16.5" customHeight="1" x14ac:dyDescent="0.3">
      <c r="A29" s="14"/>
      <c r="B29" s="10" t="s">
        <v>169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21">
        <v>20.068610634648376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21">
        <v>20.068610634648376</v>
      </c>
      <c r="DA29" s="10"/>
      <c r="DB29" s="10"/>
      <c r="DC29" s="10"/>
      <c r="DD29" s="10"/>
      <c r="DE29" s="11"/>
      <c r="DF29" s="22">
        <f t="shared" ref="DF29" si="8">MAX(C29:DE29)</f>
        <v>20.068610634648376</v>
      </c>
      <c r="DG29" s="20"/>
    </row>
    <row r="30" spans="1:111" ht="16.5" customHeight="1" x14ac:dyDescent="0.3">
      <c r="A30" s="14" t="s">
        <v>178</v>
      </c>
      <c r="B30" s="10" t="s">
        <v>167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1"/>
      <c r="DF30" s="16">
        <f t="shared" si="0"/>
        <v>0</v>
      </c>
      <c r="DG30" s="23" t="str" cm="1">
        <f t="array" ref="DG30">IFERROR(_xlfn.XLOOKUP(DF30,$B30:DE30,$B$1:$DE$1,"wilo"),"wilo")</f>
        <v>wilo</v>
      </c>
    </row>
    <row r="31" spans="1:111" ht="16.5" customHeight="1" x14ac:dyDescent="0.3">
      <c r="A31" s="14"/>
      <c r="B31" s="10" t="s">
        <v>168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1"/>
      <c r="DF31" s="19">
        <f t="shared" si="0"/>
        <v>0</v>
      </c>
      <c r="DG31" s="23"/>
    </row>
    <row r="32" spans="1:111" ht="16.5" customHeight="1" x14ac:dyDescent="0.3">
      <c r="A32" s="14"/>
      <c r="B32" s="10" t="s">
        <v>169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1"/>
      <c r="DF32" s="22">
        <f t="shared" ref="DF32" si="9">MAX(C32:DE32)</f>
        <v>0</v>
      </c>
      <c r="DG32" s="23"/>
    </row>
    <row r="33" spans="1:111" x14ac:dyDescent="0.3">
      <c r="A33" s="14" t="s">
        <v>179</v>
      </c>
      <c r="B33" s="10" t="s">
        <v>167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5">
        <v>305000</v>
      </c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1"/>
      <c r="DF33" s="16">
        <f t="shared" si="0"/>
        <v>305000</v>
      </c>
      <c r="DG33" s="23" t="str" cm="1">
        <f t="array" ref="DG33">IFERROR(_xlfn.XLOOKUP(DF33,$B33:DE33,$B$1:$DE$1,"wilo"),"wilo")</f>
        <v>DAEJINSA</v>
      </c>
    </row>
    <row r="34" spans="1:111" ht="16.5" customHeight="1" x14ac:dyDescent="0.3">
      <c r="A34" s="14"/>
      <c r="B34" s="10" t="s">
        <v>168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8">
        <v>314000</v>
      </c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1"/>
      <c r="DF34" s="19">
        <f t="shared" si="0"/>
        <v>314000</v>
      </c>
      <c r="DG34" s="20"/>
    </row>
    <row r="35" spans="1:111" ht="16.5" customHeight="1" x14ac:dyDescent="0.3">
      <c r="A35" s="14"/>
      <c r="B35" s="10" t="s">
        <v>169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24">
        <v>22.114402451481109</v>
      </c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1"/>
      <c r="DF35" s="22">
        <f t="shared" ref="DF35" si="10">MAX(C35:DE35)</f>
        <v>22.114402451481109</v>
      </c>
      <c r="DG35" s="20"/>
    </row>
    <row r="36" spans="1:111" ht="16.5" customHeight="1" x14ac:dyDescent="0.3">
      <c r="A36" s="14" t="s">
        <v>180</v>
      </c>
      <c r="B36" s="10" t="s">
        <v>167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1"/>
      <c r="DF36" s="16">
        <f t="shared" si="0"/>
        <v>0</v>
      </c>
      <c r="DG36" s="23" t="str" cm="1">
        <f t="array" ref="DG36">IFERROR(_xlfn.XLOOKUP(DF36,$B36:DE36,$B$1:$DE$1,"wilo"),"wilo")</f>
        <v>wilo</v>
      </c>
    </row>
    <row r="37" spans="1:111" ht="16.5" customHeight="1" x14ac:dyDescent="0.3">
      <c r="A37" s="14"/>
      <c r="B37" s="10" t="s">
        <v>168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1"/>
      <c r="DF37" s="19">
        <f t="shared" si="0"/>
        <v>0</v>
      </c>
      <c r="DG37" s="23"/>
    </row>
    <row r="38" spans="1:111" ht="16.5" customHeight="1" x14ac:dyDescent="0.3">
      <c r="A38" s="14"/>
      <c r="B38" s="10" t="s">
        <v>169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1"/>
      <c r="DF38" s="22">
        <f t="shared" ref="DF38" si="11">MAX(C38:DE38)</f>
        <v>0</v>
      </c>
      <c r="DG38" s="23"/>
    </row>
    <row r="39" spans="1:111" ht="16.5" customHeight="1" x14ac:dyDescent="0.3">
      <c r="A39" s="14" t="s">
        <v>181</v>
      </c>
      <c r="B39" s="10" t="s">
        <v>167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1"/>
      <c r="DF39" s="16">
        <f t="shared" si="0"/>
        <v>0</v>
      </c>
      <c r="DG39" s="23" t="str" cm="1">
        <f t="array" ref="DG39">IFERROR(_xlfn.XLOOKUP(DF39,$B39:DE39,$B$1:$DE$1,"wilo"),"wilo")</f>
        <v>wilo</v>
      </c>
    </row>
    <row r="40" spans="1:111" ht="16.5" customHeight="1" x14ac:dyDescent="0.3">
      <c r="A40" s="14"/>
      <c r="B40" s="10" t="s">
        <v>168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1"/>
      <c r="DF40" s="19">
        <f t="shared" si="0"/>
        <v>0</v>
      </c>
      <c r="DG40" s="23"/>
    </row>
    <row r="41" spans="1:111" ht="16.5" customHeight="1" x14ac:dyDescent="0.3">
      <c r="A41" s="14"/>
      <c r="B41" s="10" t="s">
        <v>169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1"/>
      <c r="DF41" s="22">
        <f t="shared" ref="DF41" si="12">MAX(C41:DE41)</f>
        <v>0</v>
      </c>
      <c r="DG41" s="23"/>
    </row>
    <row r="42" spans="1:111" ht="16.5" customHeight="1" x14ac:dyDescent="0.3">
      <c r="A42" s="14" t="s">
        <v>182</v>
      </c>
      <c r="B42" s="10" t="s">
        <v>167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1"/>
      <c r="DF42" s="16">
        <f t="shared" si="0"/>
        <v>0</v>
      </c>
      <c r="DG42" s="23" t="str" cm="1">
        <f t="array" ref="DG42">IFERROR(_xlfn.XLOOKUP(DF42,$B42:DE42,$B$1:$DE$1,"wilo"),"wilo")</f>
        <v>wilo</v>
      </c>
    </row>
    <row r="43" spans="1:111" ht="16.5" customHeight="1" x14ac:dyDescent="0.3">
      <c r="A43" s="14"/>
      <c r="B43" s="10" t="s">
        <v>168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1"/>
      <c r="DF43" s="19">
        <f t="shared" si="0"/>
        <v>0</v>
      </c>
      <c r="DG43" s="23"/>
    </row>
    <row r="44" spans="1:111" ht="16.5" customHeight="1" x14ac:dyDescent="0.3">
      <c r="A44" s="14"/>
      <c r="B44" s="10" t="s">
        <v>169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1"/>
      <c r="DF44" s="22">
        <f t="shared" ref="DF44" si="13">MAX(C44:DE44)</f>
        <v>0</v>
      </c>
      <c r="DG44" s="23"/>
    </row>
    <row r="45" spans="1:111" ht="16.5" customHeight="1" x14ac:dyDescent="0.3">
      <c r="A45" s="14" t="s">
        <v>183</v>
      </c>
      <c r="B45" s="10" t="s">
        <v>167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1"/>
      <c r="DF45" s="16">
        <f t="shared" si="0"/>
        <v>0</v>
      </c>
      <c r="DG45" s="23" t="str" cm="1">
        <f t="array" ref="DG45">IFERROR(_xlfn.XLOOKUP(DF45,$B45:DE45,$B$1:$DE$1,"wilo"),"wilo")</f>
        <v>wilo</v>
      </c>
    </row>
    <row r="46" spans="1:111" ht="16.5" customHeight="1" x14ac:dyDescent="0.3">
      <c r="A46" s="14"/>
      <c r="B46" s="10" t="s">
        <v>168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1"/>
      <c r="DF46" s="19">
        <f t="shared" si="0"/>
        <v>0</v>
      </c>
      <c r="DG46" s="23"/>
    </row>
    <row r="47" spans="1:111" ht="16.5" customHeight="1" x14ac:dyDescent="0.3">
      <c r="A47" s="14"/>
      <c r="B47" s="10" t="s">
        <v>169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1"/>
      <c r="DF47" s="22">
        <f t="shared" ref="DF47" si="14">MAX(C47:DE47)</f>
        <v>0</v>
      </c>
      <c r="DG47" s="23"/>
    </row>
    <row r="48" spans="1:111" x14ac:dyDescent="0.3">
      <c r="A48" s="14" t="s">
        <v>184</v>
      </c>
      <c r="B48" s="10" t="s">
        <v>167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5">
        <v>49500</v>
      </c>
      <c r="AS48" s="15">
        <v>51030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5">
        <v>48600</v>
      </c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1"/>
      <c r="DF48" s="16">
        <f t="shared" si="0"/>
        <v>48600</v>
      </c>
      <c r="DG48" s="23" t="str" cm="1">
        <f t="array" ref="DG48">IFERROR(_xlfn.XLOOKUP(DF48,$B48:DE48,$B$1:$DE$1,"wilo"),"wilo")</f>
        <v>펌프샵</v>
      </c>
    </row>
    <row r="49" spans="1:111" ht="16.5" customHeight="1" x14ac:dyDescent="0.3">
      <c r="A49" s="14"/>
      <c r="B49" s="10" t="s">
        <v>168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8">
        <v>52000</v>
      </c>
      <c r="AS49" s="18">
        <v>52000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8">
        <v>52000</v>
      </c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1"/>
      <c r="DF49" s="19">
        <f t="shared" si="0"/>
        <v>52000</v>
      </c>
      <c r="DG49" s="20"/>
    </row>
    <row r="50" spans="1:111" ht="16.5" customHeight="1" x14ac:dyDescent="0.3">
      <c r="A50" s="14"/>
      <c r="B50" s="10" t="s">
        <v>169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24">
        <v>23.469387755102048</v>
      </c>
      <c r="AS50" s="21">
        <v>21.103896103896112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24">
        <v>24.86085343228201</v>
      </c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1"/>
      <c r="DF50" s="22">
        <f t="shared" ref="DF50" si="15">MAX(C50:DE50)</f>
        <v>24.86085343228201</v>
      </c>
      <c r="DG50" s="20"/>
    </row>
    <row r="51" spans="1:111" x14ac:dyDescent="0.3">
      <c r="A51" s="14" t="s">
        <v>185</v>
      </c>
      <c r="B51" s="10" t="s">
        <v>167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5">
        <v>88230</v>
      </c>
      <c r="AS51" s="10"/>
      <c r="AT51" s="15">
        <v>89640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5">
        <v>87900</v>
      </c>
      <c r="BE51" s="10"/>
      <c r="BF51" s="10"/>
      <c r="BG51" s="10"/>
      <c r="BH51" s="10"/>
      <c r="BI51" s="15">
        <v>88000</v>
      </c>
      <c r="BJ51" s="10"/>
      <c r="BK51" s="10"/>
      <c r="BL51" s="10"/>
      <c r="BM51" s="15">
        <v>86920</v>
      </c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1"/>
      <c r="DF51" s="16">
        <f t="shared" si="0"/>
        <v>86920</v>
      </c>
      <c r="DG51" s="23" t="str" cm="1">
        <f t="array" ref="DG51">IFERROR(_xlfn.XLOOKUP(DF51,$B51:DE51,$B$1:$DE$1,"wilo"),"wilo")</f>
        <v>글로벌펌프시스템</v>
      </c>
    </row>
    <row r="52" spans="1:111" ht="16.5" customHeight="1" x14ac:dyDescent="0.3">
      <c r="A52" s="14"/>
      <c r="B52" s="10" t="s">
        <v>168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8">
        <v>90000</v>
      </c>
      <c r="AS52" s="10"/>
      <c r="AT52" s="18">
        <v>90000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8">
        <v>90000</v>
      </c>
      <c r="BE52" s="10"/>
      <c r="BF52" s="10"/>
      <c r="BG52" s="10"/>
      <c r="BH52" s="10"/>
      <c r="BI52" s="18">
        <v>90000</v>
      </c>
      <c r="BJ52" s="10"/>
      <c r="BK52" s="10"/>
      <c r="BL52" s="10"/>
      <c r="BM52" s="18">
        <v>90000</v>
      </c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1"/>
      <c r="DF52" s="19">
        <f t="shared" si="0"/>
        <v>90000</v>
      </c>
      <c r="DG52" s="20"/>
    </row>
    <row r="53" spans="1:111" ht="16.5" customHeight="1" x14ac:dyDescent="0.3">
      <c r="A53" s="14"/>
      <c r="B53" s="10" t="s">
        <v>169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21">
        <v>21.36363636363637</v>
      </c>
      <c r="AS53" s="10"/>
      <c r="AT53" s="21">
        <v>20.10695187165776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21">
        <v>21.657754010695193</v>
      </c>
      <c r="BE53" s="10"/>
      <c r="BF53" s="10"/>
      <c r="BG53" s="10"/>
      <c r="BH53" s="10"/>
      <c r="BI53" s="21">
        <v>21.568627450980397</v>
      </c>
      <c r="BJ53" s="10"/>
      <c r="BK53" s="10"/>
      <c r="BL53" s="10"/>
      <c r="BM53" s="24">
        <v>22.531194295900185</v>
      </c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1"/>
      <c r="DF53" s="22">
        <f t="shared" ref="DF53" si="16">MAX(C53:DE53)</f>
        <v>22.531194295900185</v>
      </c>
      <c r="DG53" s="20"/>
    </row>
    <row r="54" spans="1:111" x14ac:dyDescent="0.3">
      <c r="A54" s="14" t="s">
        <v>186</v>
      </c>
      <c r="B54" s="10" t="s">
        <v>167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5">
        <v>36700</v>
      </c>
      <c r="AS54" s="10"/>
      <c r="AT54" s="15">
        <v>36400</v>
      </c>
      <c r="AU54" s="10"/>
      <c r="AV54" s="15">
        <v>35460</v>
      </c>
      <c r="AW54" s="10"/>
      <c r="AX54" s="10"/>
      <c r="AY54" s="10"/>
      <c r="AZ54" s="10"/>
      <c r="BA54" s="10"/>
      <c r="BB54" s="10"/>
      <c r="BC54" s="10"/>
      <c r="BD54" s="15">
        <v>36000</v>
      </c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1"/>
      <c r="DF54" s="16">
        <f t="shared" si="0"/>
        <v>35460</v>
      </c>
      <c r="DG54" s="23" t="str" cm="1">
        <f t="array" ref="DG54">IFERROR(_xlfn.XLOOKUP(DF54,$B54:DE54,$B$1:$DE$1,"wilo"),"wilo")</f>
        <v>옥션</v>
      </c>
    </row>
    <row r="55" spans="1:111" ht="16.5" customHeight="1" x14ac:dyDescent="0.3">
      <c r="A55" s="14"/>
      <c r="B55" s="10" t="s">
        <v>168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8">
        <v>37000</v>
      </c>
      <c r="AS55" s="10"/>
      <c r="AT55" s="18">
        <v>37000</v>
      </c>
      <c r="AU55" s="10"/>
      <c r="AV55" s="18">
        <v>37000</v>
      </c>
      <c r="AW55" s="10"/>
      <c r="AX55" s="10"/>
      <c r="AY55" s="10"/>
      <c r="AZ55" s="10"/>
      <c r="BA55" s="10"/>
      <c r="BB55" s="10"/>
      <c r="BC55" s="10"/>
      <c r="BD55" s="18">
        <v>37000</v>
      </c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1"/>
      <c r="DF55" s="19">
        <f t="shared" si="0"/>
        <v>37000</v>
      </c>
      <c r="DG55" s="20"/>
    </row>
    <row r="56" spans="1:111" ht="16.5" customHeight="1" x14ac:dyDescent="0.3">
      <c r="A56" s="14"/>
      <c r="B56" s="10" t="s">
        <v>169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21">
        <v>20.373182903015845</v>
      </c>
      <c r="AS56" s="10"/>
      <c r="AT56" s="21">
        <v>21.024083315252774</v>
      </c>
      <c r="AU56" s="10"/>
      <c r="AV56" s="24">
        <v>23.063571273595148</v>
      </c>
      <c r="AW56" s="10"/>
      <c r="AX56" s="10"/>
      <c r="AY56" s="10"/>
      <c r="AZ56" s="10"/>
      <c r="BA56" s="10"/>
      <c r="BB56" s="10"/>
      <c r="BC56" s="10"/>
      <c r="BD56" s="21">
        <v>21.891950531568675</v>
      </c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1"/>
      <c r="DF56" s="22">
        <f t="shared" ref="DF56" si="17">MAX(C56:DE56)</f>
        <v>23.063571273595148</v>
      </c>
      <c r="DG56" s="20"/>
    </row>
    <row r="57" spans="1:111" x14ac:dyDescent="0.3">
      <c r="A57" s="14" t="s">
        <v>187</v>
      </c>
      <c r="B57" s="10" t="s">
        <v>167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5">
        <v>35350</v>
      </c>
      <c r="AT57" s="15">
        <v>36400</v>
      </c>
      <c r="AU57" s="10"/>
      <c r="AV57" s="15">
        <v>35460</v>
      </c>
      <c r="AW57" s="10"/>
      <c r="AX57" s="10"/>
      <c r="AY57" s="10"/>
      <c r="AZ57" s="10"/>
      <c r="BA57" s="10"/>
      <c r="BB57" s="10"/>
      <c r="BC57" s="10"/>
      <c r="BD57" s="15">
        <v>34500</v>
      </c>
      <c r="BE57" s="15">
        <v>36370</v>
      </c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5">
        <v>35400</v>
      </c>
      <c r="DB57" s="10"/>
      <c r="DC57" s="10"/>
      <c r="DD57" s="10"/>
      <c r="DE57" s="11"/>
      <c r="DF57" s="16">
        <f t="shared" si="0"/>
        <v>34500</v>
      </c>
      <c r="DG57" s="23" t="str" cm="1">
        <f t="array" ref="DG57">IFERROR(_xlfn.XLOOKUP(DF57,$B57:DE57,$B$1:$DE$1,"wilo"),"wilo")</f>
        <v>펌프샵</v>
      </c>
    </row>
    <row r="58" spans="1:111" ht="16.5" customHeight="1" x14ac:dyDescent="0.3">
      <c r="A58" s="14"/>
      <c r="B58" s="10" t="s">
        <v>168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8">
        <v>37000</v>
      </c>
      <c r="AT58" s="18">
        <v>37000</v>
      </c>
      <c r="AU58" s="10"/>
      <c r="AV58" s="18">
        <v>37000</v>
      </c>
      <c r="AW58" s="10"/>
      <c r="AX58" s="10"/>
      <c r="AY58" s="10"/>
      <c r="AZ58" s="10"/>
      <c r="BA58" s="10"/>
      <c r="BB58" s="10"/>
      <c r="BC58" s="10"/>
      <c r="BD58" s="18">
        <v>37000</v>
      </c>
      <c r="BE58" s="18">
        <v>37000</v>
      </c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8">
        <v>37000</v>
      </c>
      <c r="DB58" s="10"/>
      <c r="DC58" s="10"/>
      <c r="DD58" s="10"/>
      <c r="DE58" s="11"/>
      <c r="DF58" s="19">
        <f t="shared" si="0"/>
        <v>37000</v>
      </c>
      <c r="DG58" s="20"/>
    </row>
    <row r="59" spans="1:111" ht="16.5" customHeight="1" x14ac:dyDescent="0.3">
      <c r="A59" s="14"/>
      <c r="B59" s="10" t="s">
        <v>169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24">
        <v>23.302234758082019</v>
      </c>
      <c r="AT59" s="21">
        <v>21.024083315252774</v>
      </c>
      <c r="AU59" s="10"/>
      <c r="AV59" s="24">
        <v>23.063571273595148</v>
      </c>
      <c r="AW59" s="10"/>
      <c r="AX59" s="10"/>
      <c r="AY59" s="10"/>
      <c r="AZ59" s="10"/>
      <c r="BA59" s="10"/>
      <c r="BB59" s="10"/>
      <c r="BC59" s="10"/>
      <c r="BD59" s="25">
        <v>25.146452592753313</v>
      </c>
      <c r="BE59" s="21">
        <v>21.089173356476465</v>
      </c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24">
        <v>23.193751356042533</v>
      </c>
      <c r="DB59" s="10"/>
      <c r="DC59" s="10"/>
      <c r="DD59" s="10"/>
      <c r="DE59" s="11"/>
      <c r="DF59" s="22">
        <f t="shared" ref="DF59" si="18">MAX(C59:DE59)</f>
        <v>25.146452592753313</v>
      </c>
      <c r="DG59" s="20"/>
    </row>
    <row r="60" spans="1:111" ht="16.5" customHeight="1" x14ac:dyDescent="0.3">
      <c r="A60" s="14" t="s">
        <v>188</v>
      </c>
      <c r="B60" s="10" t="s">
        <v>167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1"/>
      <c r="DF60" s="16">
        <f t="shared" si="0"/>
        <v>0</v>
      </c>
      <c r="DG60" s="23" t="str" cm="1">
        <f t="array" ref="DG60">IFERROR(_xlfn.XLOOKUP(DF60,$B60:DE60,$B$1:$DE$1,"wilo"),"wilo")</f>
        <v>wilo</v>
      </c>
    </row>
    <row r="61" spans="1:111" ht="16.5" customHeight="1" x14ac:dyDescent="0.3">
      <c r="A61" s="14"/>
      <c r="B61" s="10" t="s">
        <v>168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1"/>
      <c r="DF61" s="19">
        <f t="shared" si="0"/>
        <v>0</v>
      </c>
      <c r="DG61" s="23"/>
    </row>
    <row r="62" spans="1:111" ht="16.5" customHeight="1" x14ac:dyDescent="0.3">
      <c r="A62" s="14"/>
      <c r="B62" s="10" t="s">
        <v>169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1"/>
      <c r="DF62" s="22">
        <f t="shared" ref="DF62" si="19">MAX(C62:DE62)</f>
        <v>0</v>
      </c>
      <c r="DG62" s="23"/>
    </row>
    <row r="63" spans="1:111" ht="16.5" customHeight="1" x14ac:dyDescent="0.3">
      <c r="A63" s="14" t="s">
        <v>189</v>
      </c>
      <c r="B63" s="10" t="s">
        <v>167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1"/>
      <c r="DF63" s="16">
        <f t="shared" si="0"/>
        <v>0</v>
      </c>
      <c r="DG63" s="23" t="str" cm="1">
        <f t="array" ref="DG63">IFERROR(_xlfn.XLOOKUP(DF63,$B63:DE63,$B$1:$DE$1,"wilo"),"wilo")</f>
        <v>wilo</v>
      </c>
    </row>
    <row r="64" spans="1:111" ht="16.5" customHeight="1" x14ac:dyDescent="0.3">
      <c r="A64" s="14"/>
      <c r="B64" s="10" t="s">
        <v>168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1"/>
      <c r="DF64" s="19">
        <f t="shared" si="0"/>
        <v>0</v>
      </c>
      <c r="DG64" s="23"/>
    </row>
    <row r="65" spans="1:111" ht="16.5" customHeight="1" x14ac:dyDescent="0.3">
      <c r="A65" s="14"/>
      <c r="B65" s="10" t="s">
        <v>169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1"/>
      <c r="DF65" s="22">
        <f t="shared" ref="DF65" si="20">MAX(C65:DE65)</f>
        <v>0</v>
      </c>
      <c r="DG65" s="23"/>
    </row>
    <row r="66" spans="1:111" x14ac:dyDescent="0.3">
      <c r="A66" s="14" t="s">
        <v>190</v>
      </c>
      <c r="B66" s="10" t="s">
        <v>167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5">
        <v>233500</v>
      </c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1"/>
      <c r="DF66" s="16">
        <f t="shared" si="0"/>
        <v>233500</v>
      </c>
      <c r="DG66" s="23" t="str" cm="1">
        <f t="array" ref="DG66">IFERROR(_xlfn.XLOOKUP(DF66,$B66:DE66,$B$1:$DE$1,"wilo"),"wilo")</f>
        <v>펌프샵</v>
      </c>
    </row>
    <row r="67" spans="1:111" ht="16.5" customHeight="1" x14ac:dyDescent="0.3">
      <c r="A67" s="14"/>
      <c r="B67" s="10" t="s">
        <v>168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8">
        <v>237000</v>
      </c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1"/>
      <c r="DF67" s="19">
        <f t="shared" ref="DF67:DF130" si="21">MIN(C67:DE67)</f>
        <v>237000</v>
      </c>
      <c r="DG67" s="20"/>
    </row>
    <row r="68" spans="1:111" ht="16.5" customHeight="1" x14ac:dyDescent="0.3">
      <c r="A68" s="14"/>
      <c r="B68" s="10" t="s">
        <v>169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21">
        <v>21.088205474822583</v>
      </c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1"/>
      <c r="DF68" s="22">
        <f t="shared" ref="DF68" si="22">MAX(C68:DE68)</f>
        <v>21.088205474822583</v>
      </c>
      <c r="DG68" s="20"/>
    </row>
    <row r="69" spans="1:111" x14ac:dyDescent="0.3">
      <c r="A69" s="14" t="s">
        <v>191</v>
      </c>
      <c r="B69" s="10" t="s">
        <v>167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5">
        <v>301000</v>
      </c>
      <c r="DA69" s="10"/>
      <c r="DB69" s="10"/>
      <c r="DC69" s="10"/>
      <c r="DD69" s="10"/>
      <c r="DE69" s="11"/>
      <c r="DF69" s="16">
        <f t="shared" si="21"/>
        <v>301000</v>
      </c>
      <c r="DG69" s="23" t="str" cm="1">
        <f t="array" ref="DG69">IFERROR(_xlfn.XLOOKUP(DF69,$B69:DE69,$B$1:$DE$1,"wilo"),"wilo")</f>
        <v>펌프스토어</v>
      </c>
    </row>
    <row r="70" spans="1:111" ht="16.5" customHeight="1" x14ac:dyDescent="0.3">
      <c r="A70" s="14"/>
      <c r="B70" s="10" t="s">
        <v>168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8">
        <v>302000</v>
      </c>
      <c r="DA70" s="10"/>
      <c r="DB70" s="10"/>
      <c r="DC70" s="10"/>
      <c r="DD70" s="10"/>
      <c r="DE70" s="11"/>
      <c r="DF70" s="19">
        <f t="shared" si="21"/>
        <v>302000</v>
      </c>
      <c r="DG70" s="20"/>
    </row>
    <row r="71" spans="1:111" ht="16.5" customHeight="1" x14ac:dyDescent="0.3">
      <c r="A71" s="14"/>
      <c r="B71" s="10" t="s">
        <v>169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21">
        <v>20.222634508348801</v>
      </c>
      <c r="DA71" s="10"/>
      <c r="DB71" s="10"/>
      <c r="DC71" s="10"/>
      <c r="DD71" s="10"/>
      <c r="DE71" s="11"/>
      <c r="DF71" s="22">
        <f t="shared" ref="DF71" si="23">MAX(C71:DE71)</f>
        <v>20.222634508348801</v>
      </c>
      <c r="DG71" s="20"/>
    </row>
    <row r="72" spans="1:111" ht="16.5" customHeight="1" x14ac:dyDescent="0.3">
      <c r="A72" s="14" t="s">
        <v>192</v>
      </c>
      <c r="B72" s="10" t="s">
        <v>167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1"/>
      <c r="DF72" s="16">
        <f t="shared" si="21"/>
        <v>0</v>
      </c>
      <c r="DG72" s="23" t="str" cm="1">
        <f t="array" ref="DG72">IFERROR(_xlfn.XLOOKUP(DF72,$B72:DE72,$B$1:$DE$1,"wilo"),"wilo")</f>
        <v>wilo</v>
      </c>
    </row>
    <row r="73" spans="1:111" ht="16.5" customHeight="1" x14ac:dyDescent="0.3">
      <c r="A73" s="14"/>
      <c r="B73" s="10" t="s">
        <v>168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1"/>
      <c r="DF73" s="19">
        <f t="shared" si="21"/>
        <v>0</v>
      </c>
      <c r="DG73" s="23"/>
    </row>
    <row r="74" spans="1:111" ht="16.5" customHeight="1" x14ac:dyDescent="0.3">
      <c r="A74" s="14"/>
      <c r="B74" s="10" t="s">
        <v>169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1"/>
      <c r="DF74" s="22">
        <f t="shared" ref="DF74" si="24">MAX(C74:DE74)</f>
        <v>0</v>
      </c>
      <c r="DG74" s="23"/>
    </row>
    <row r="75" spans="1:111" x14ac:dyDescent="0.3">
      <c r="A75" s="14" t="s">
        <v>193</v>
      </c>
      <c r="B75" s="10" t="s">
        <v>167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5">
        <v>310000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1"/>
      <c r="DF75" s="16">
        <f t="shared" si="21"/>
        <v>310000</v>
      </c>
      <c r="DG75" s="23" t="str" cm="1">
        <f t="array" ref="DG75">IFERROR(_xlfn.XLOOKUP(DF75,$B75:DE75,$B$1:$DE$1,"wilo"),"wilo")</f>
        <v>쿠팡</v>
      </c>
    </row>
    <row r="76" spans="1:111" ht="16.5" customHeight="1" x14ac:dyDescent="0.3">
      <c r="A76" s="14"/>
      <c r="B76" s="10" t="s">
        <v>168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8">
        <v>315000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1"/>
      <c r="DF76" s="19">
        <f t="shared" si="21"/>
        <v>315000</v>
      </c>
      <c r="DG76" s="20"/>
    </row>
    <row r="77" spans="1:111" ht="16.5" customHeight="1" x14ac:dyDescent="0.3">
      <c r="A77" s="14"/>
      <c r="B77" s="10" t="s">
        <v>169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21">
        <v>21.059332824038712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1"/>
      <c r="DF77" s="22">
        <f t="shared" ref="DF77" si="25">MAX(C77:DE77)</f>
        <v>21.059332824038712</v>
      </c>
      <c r="DG77" s="20"/>
    </row>
    <row r="78" spans="1:111" ht="16.5" customHeight="1" x14ac:dyDescent="0.3">
      <c r="A78" s="14" t="s">
        <v>194</v>
      </c>
      <c r="B78" s="10" t="s">
        <v>167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1"/>
      <c r="DF78" s="16">
        <f t="shared" si="21"/>
        <v>0</v>
      </c>
      <c r="DG78" s="23" t="str" cm="1">
        <f t="array" ref="DG78">IFERROR(_xlfn.XLOOKUP(DF78,$B78:DE78,$B$1:$DE$1,"wilo"),"wilo")</f>
        <v>wilo</v>
      </c>
    </row>
    <row r="79" spans="1:111" ht="16.5" customHeight="1" x14ac:dyDescent="0.3">
      <c r="A79" s="14"/>
      <c r="B79" s="10" t="s">
        <v>168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1"/>
      <c r="DF79" s="19">
        <f t="shared" si="21"/>
        <v>0</v>
      </c>
      <c r="DG79" s="23"/>
    </row>
    <row r="80" spans="1:111" ht="16.5" customHeight="1" x14ac:dyDescent="0.3">
      <c r="A80" s="14"/>
      <c r="B80" s="10" t="s">
        <v>169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1"/>
      <c r="DF80" s="22">
        <f t="shared" ref="DF80" si="26">MAX(C80:DE80)</f>
        <v>0</v>
      </c>
      <c r="DG80" s="23"/>
    </row>
    <row r="81" spans="1:111" x14ac:dyDescent="0.3">
      <c r="A81" s="14" t="s">
        <v>195</v>
      </c>
      <c r="B81" s="10" t="s">
        <v>167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5">
        <v>240000</v>
      </c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5">
        <v>245100</v>
      </c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1"/>
      <c r="DF81" s="16">
        <f t="shared" si="21"/>
        <v>240000</v>
      </c>
      <c r="DG81" s="23" t="str" cm="1">
        <f t="array" ref="DG81">IFERROR(_xlfn.XLOOKUP(DF81,$B81:DE81,$B$1:$DE$1,"wilo"),"wilo")</f>
        <v>펌프몰</v>
      </c>
    </row>
    <row r="82" spans="1:111" ht="16.5" customHeight="1" x14ac:dyDescent="0.3">
      <c r="A82" s="14"/>
      <c r="B82" s="10" t="s">
        <v>168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8">
        <v>258000</v>
      </c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8">
        <v>258000</v>
      </c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1"/>
      <c r="DF82" s="19">
        <f t="shared" si="21"/>
        <v>258000</v>
      </c>
      <c r="DG82" s="20"/>
    </row>
    <row r="83" spans="1:111" ht="16.5" customHeight="1" x14ac:dyDescent="0.3">
      <c r="A83" s="14"/>
      <c r="B83" s="10" t="s">
        <v>169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25">
        <v>25.535215637604722</v>
      </c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24">
        <v>23.952838969903823</v>
      </c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1"/>
      <c r="DF83" s="22">
        <f t="shared" ref="DF83" si="27">MAX(C83:DE83)</f>
        <v>25.535215637604722</v>
      </c>
      <c r="DG83" s="20"/>
    </row>
    <row r="84" spans="1:111" ht="16.5" customHeight="1" x14ac:dyDescent="0.3">
      <c r="A84" s="14" t="s">
        <v>196</v>
      </c>
      <c r="B84" s="10" t="s">
        <v>167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1"/>
      <c r="DF84" s="16">
        <f t="shared" si="21"/>
        <v>0</v>
      </c>
      <c r="DG84" s="23" t="str" cm="1">
        <f t="array" ref="DG84">IFERROR(_xlfn.XLOOKUP(DF84,$B84:DE84,$B$1:$DE$1,"wilo"),"wilo")</f>
        <v>wilo</v>
      </c>
    </row>
    <row r="85" spans="1:111" ht="16.5" customHeight="1" x14ac:dyDescent="0.3">
      <c r="A85" s="14"/>
      <c r="B85" s="10" t="s">
        <v>168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1"/>
      <c r="DF85" s="19">
        <f t="shared" si="21"/>
        <v>0</v>
      </c>
      <c r="DG85" s="23"/>
    </row>
    <row r="86" spans="1:111" ht="16.5" customHeight="1" x14ac:dyDescent="0.3">
      <c r="A86" s="14"/>
      <c r="B86" s="10" t="s">
        <v>169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1"/>
      <c r="DF86" s="22">
        <f t="shared" ref="DF86" si="28">MAX(C86:DE86)</f>
        <v>0</v>
      </c>
      <c r="DG86" s="23"/>
    </row>
    <row r="87" spans="1:111" x14ac:dyDescent="0.3">
      <c r="A87" s="14" t="s">
        <v>197</v>
      </c>
      <c r="B87" s="10" t="s">
        <v>167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5">
        <v>161600</v>
      </c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1"/>
      <c r="DF87" s="16">
        <f t="shared" si="21"/>
        <v>161600</v>
      </c>
      <c r="DG87" s="23" t="str" cm="1">
        <f t="array" ref="DG87">IFERROR(_xlfn.XLOOKUP(DF87,$B87:DE87,$B$1:$DE$1,"wilo"),"wilo")</f>
        <v>펌프샵</v>
      </c>
    </row>
    <row r="88" spans="1:111" ht="16.5" customHeight="1" x14ac:dyDescent="0.3">
      <c r="A88" s="14"/>
      <c r="B88" s="10" t="s">
        <v>168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8">
        <v>166000</v>
      </c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1"/>
      <c r="DF88" s="19">
        <f t="shared" si="21"/>
        <v>166000</v>
      </c>
      <c r="DG88" s="20"/>
    </row>
    <row r="89" spans="1:111" ht="16.5" customHeight="1" x14ac:dyDescent="0.3">
      <c r="A89" s="14"/>
      <c r="B89" s="10" t="s">
        <v>169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21">
        <v>21.856866537717607</v>
      </c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1"/>
      <c r="DF89" s="22">
        <f t="shared" ref="DF89" si="29">MAX(C89:DE89)</f>
        <v>21.856866537717607</v>
      </c>
      <c r="DG89" s="20"/>
    </row>
    <row r="90" spans="1:111" x14ac:dyDescent="0.3">
      <c r="A90" s="14" t="s">
        <v>198</v>
      </c>
      <c r="B90" s="10" t="s">
        <v>167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5">
        <v>367000</v>
      </c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1"/>
      <c r="DF90" s="16">
        <f t="shared" si="21"/>
        <v>367000</v>
      </c>
      <c r="DG90" s="23" t="str" cm="1">
        <f t="array" ref="DG90">IFERROR(_xlfn.XLOOKUP(DF90,$B90:DE90,$B$1:$DE$1,"wilo"),"wilo")</f>
        <v>DAEJINSA</v>
      </c>
    </row>
    <row r="91" spans="1:111" ht="16.5" customHeight="1" x14ac:dyDescent="0.3">
      <c r="A91" s="14"/>
      <c r="B91" s="10" t="s">
        <v>168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8">
        <v>374000</v>
      </c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1"/>
      <c r="DF91" s="19">
        <f t="shared" si="21"/>
        <v>374000</v>
      </c>
      <c r="DG91" s="20"/>
    </row>
    <row r="92" spans="1:111" ht="16.5" customHeight="1" x14ac:dyDescent="0.3">
      <c r="A92" s="14"/>
      <c r="B92" s="10" t="s">
        <v>169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21">
        <v>21.497326203208562</v>
      </c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1"/>
      <c r="DF92" s="22">
        <f t="shared" ref="DF92" si="30">MAX(C92:DE92)</f>
        <v>21.497326203208562</v>
      </c>
      <c r="DG92" s="20"/>
    </row>
    <row r="93" spans="1:111" ht="16.5" customHeight="1" x14ac:dyDescent="0.3">
      <c r="A93" s="14" t="s">
        <v>199</v>
      </c>
      <c r="B93" s="10" t="s">
        <v>167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1"/>
      <c r="DF93" s="16">
        <f t="shared" si="21"/>
        <v>0</v>
      </c>
      <c r="DG93" s="23" t="str" cm="1">
        <f t="array" ref="DG93">IFERROR(_xlfn.XLOOKUP(DF93,$B93:DE93,$B$1:$DE$1,"wilo"),"wilo")</f>
        <v>wilo</v>
      </c>
    </row>
    <row r="94" spans="1:111" ht="16.5" customHeight="1" x14ac:dyDescent="0.3">
      <c r="A94" s="14"/>
      <c r="B94" s="10" t="s">
        <v>168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1"/>
      <c r="DF94" s="19">
        <f t="shared" si="21"/>
        <v>0</v>
      </c>
      <c r="DG94" s="23"/>
    </row>
    <row r="95" spans="1:111" ht="16.5" customHeight="1" x14ac:dyDescent="0.3">
      <c r="A95" s="14"/>
      <c r="B95" s="10" t="s">
        <v>169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1"/>
      <c r="DF95" s="22">
        <f t="shared" ref="DF95" si="31">MAX(C95:DE95)</f>
        <v>0</v>
      </c>
      <c r="DG95" s="23"/>
    </row>
    <row r="96" spans="1:111" ht="16.5" customHeight="1" x14ac:dyDescent="0.3">
      <c r="A96" s="14" t="s">
        <v>200</v>
      </c>
      <c r="B96" s="10" t="s">
        <v>167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1"/>
      <c r="DF96" s="16">
        <f t="shared" si="21"/>
        <v>0</v>
      </c>
      <c r="DG96" s="23" t="str" cm="1">
        <f t="array" ref="DG96">IFERROR(_xlfn.XLOOKUP(DF96,$B96:DE96,$B$1:$DE$1,"wilo"),"wilo")</f>
        <v>wilo</v>
      </c>
    </row>
    <row r="97" spans="1:111" ht="16.5" customHeight="1" x14ac:dyDescent="0.3">
      <c r="A97" s="14"/>
      <c r="B97" s="10" t="s">
        <v>168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1"/>
      <c r="DF97" s="19">
        <f t="shared" si="21"/>
        <v>0</v>
      </c>
      <c r="DG97" s="23"/>
    </row>
    <row r="98" spans="1:111" ht="16.5" customHeight="1" x14ac:dyDescent="0.3">
      <c r="A98" s="14"/>
      <c r="B98" s="10" t="s">
        <v>169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1"/>
      <c r="DF98" s="22">
        <f t="shared" ref="DF98" si="32">MAX(C98:DE98)</f>
        <v>0</v>
      </c>
      <c r="DG98" s="23"/>
    </row>
    <row r="99" spans="1:111" ht="16.5" customHeight="1" x14ac:dyDescent="0.3">
      <c r="A99" s="14" t="s">
        <v>201</v>
      </c>
      <c r="B99" s="10" t="s">
        <v>167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1"/>
      <c r="DF99" s="16">
        <f t="shared" si="21"/>
        <v>0</v>
      </c>
      <c r="DG99" s="23" t="str" cm="1">
        <f t="array" ref="DG99">IFERROR(_xlfn.XLOOKUP(DF99,$B99:DE99,$B$1:$DE$1,"wilo"),"wilo")</f>
        <v>wilo</v>
      </c>
    </row>
    <row r="100" spans="1:111" ht="16.5" customHeight="1" x14ac:dyDescent="0.3">
      <c r="A100" s="14"/>
      <c r="B100" s="10" t="s">
        <v>168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1"/>
      <c r="DF100" s="19">
        <f t="shared" si="21"/>
        <v>0</v>
      </c>
      <c r="DG100" s="23"/>
    </row>
    <row r="101" spans="1:111" ht="16.5" customHeight="1" x14ac:dyDescent="0.3">
      <c r="A101" s="14"/>
      <c r="B101" s="10" t="s">
        <v>169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1"/>
      <c r="DF101" s="22">
        <f t="shared" ref="DF101" si="33">MAX(C101:DE101)</f>
        <v>0</v>
      </c>
      <c r="DG101" s="23"/>
    </row>
    <row r="102" spans="1:111" ht="16.5" customHeight="1" x14ac:dyDescent="0.3">
      <c r="A102" s="14" t="s">
        <v>202</v>
      </c>
      <c r="B102" s="10" t="s">
        <v>167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1"/>
      <c r="DF102" s="16">
        <f t="shared" si="21"/>
        <v>0</v>
      </c>
      <c r="DG102" s="23" t="str" cm="1">
        <f t="array" ref="DG102">IFERROR(_xlfn.XLOOKUP(DF102,$B102:DE102,$B$1:$DE$1,"wilo"),"wilo")</f>
        <v>wilo</v>
      </c>
    </row>
    <row r="103" spans="1:111" ht="16.5" customHeight="1" x14ac:dyDescent="0.3">
      <c r="A103" s="14"/>
      <c r="B103" s="10" t="s">
        <v>168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1"/>
      <c r="DF103" s="19">
        <f t="shared" si="21"/>
        <v>0</v>
      </c>
      <c r="DG103" s="23"/>
    </row>
    <row r="104" spans="1:111" ht="16.5" customHeight="1" x14ac:dyDescent="0.3">
      <c r="A104" s="14"/>
      <c r="B104" s="10" t="s">
        <v>169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1"/>
      <c r="DF104" s="22">
        <f t="shared" ref="DF104" si="34">MAX(C104:DE104)</f>
        <v>0</v>
      </c>
      <c r="DG104" s="23"/>
    </row>
    <row r="105" spans="1:111" ht="16.5" customHeight="1" x14ac:dyDescent="0.3">
      <c r="A105" s="14" t="s">
        <v>203</v>
      </c>
      <c r="B105" s="10" t="s">
        <v>167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1"/>
      <c r="DF105" s="16">
        <f t="shared" si="21"/>
        <v>0</v>
      </c>
      <c r="DG105" s="23" t="str" cm="1">
        <f t="array" ref="DG105">IFERROR(_xlfn.XLOOKUP(DF105,$B105:DE105,$B$1:$DE$1,"wilo"),"wilo")</f>
        <v>wilo</v>
      </c>
    </row>
    <row r="106" spans="1:111" ht="16.5" customHeight="1" x14ac:dyDescent="0.3">
      <c r="A106" s="14"/>
      <c r="B106" s="10" t="s">
        <v>168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1"/>
      <c r="DF106" s="19">
        <f t="shared" si="21"/>
        <v>0</v>
      </c>
      <c r="DG106" s="23"/>
    </row>
    <row r="107" spans="1:111" ht="16.5" customHeight="1" x14ac:dyDescent="0.3">
      <c r="A107" s="14"/>
      <c r="B107" s="10" t="s">
        <v>169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1"/>
      <c r="DF107" s="22">
        <f t="shared" ref="DF107" si="35">MAX(C107:DE107)</f>
        <v>0</v>
      </c>
      <c r="DG107" s="23"/>
    </row>
    <row r="108" spans="1:111" x14ac:dyDescent="0.3">
      <c r="A108" s="14" t="s">
        <v>204</v>
      </c>
      <c r="B108" s="10" t="s">
        <v>167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5">
        <v>303800</v>
      </c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1"/>
      <c r="DF108" s="16">
        <f t="shared" si="21"/>
        <v>303800</v>
      </c>
      <c r="DG108" s="23" t="str" cm="1">
        <f t="array" ref="DG108">IFERROR(_xlfn.XLOOKUP(DF108,$B108:DE108,$B$1:$DE$1,"wilo"),"wilo")</f>
        <v>펌프샵</v>
      </c>
    </row>
    <row r="109" spans="1:111" ht="16.5" customHeight="1" x14ac:dyDescent="0.3">
      <c r="A109" s="14"/>
      <c r="B109" s="10" t="s">
        <v>168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8">
        <v>305000</v>
      </c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1"/>
      <c r="DF109" s="19">
        <f t="shared" si="21"/>
        <v>305000</v>
      </c>
      <c r="DG109" s="20"/>
    </row>
    <row r="110" spans="1:111" ht="16.5" customHeight="1" x14ac:dyDescent="0.3">
      <c r="A110" s="14"/>
      <c r="B110" s="10" t="s">
        <v>169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21">
        <v>20.178665265370473</v>
      </c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1"/>
      <c r="DF110" s="22">
        <f t="shared" ref="DF110" si="36">MAX(C110:DE110)</f>
        <v>20.178665265370473</v>
      </c>
      <c r="DG110" s="20"/>
    </row>
    <row r="111" spans="1:111" ht="16.5" customHeight="1" x14ac:dyDescent="0.3">
      <c r="A111" s="14" t="s">
        <v>205</v>
      </c>
      <c r="B111" s="10" t="s">
        <v>167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1"/>
      <c r="DF111" s="16">
        <f t="shared" si="21"/>
        <v>0</v>
      </c>
      <c r="DG111" s="23" t="str" cm="1">
        <f t="array" ref="DG111">IFERROR(_xlfn.XLOOKUP(DF111,$B111:DE111,$B$1:$DE$1,"wilo"),"wilo")</f>
        <v>wilo</v>
      </c>
    </row>
    <row r="112" spans="1:111" ht="16.5" customHeight="1" x14ac:dyDescent="0.3">
      <c r="A112" s="14"/>
      <c r="B112" s="10" t="s">
        <v>168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1"/>
      <c r="DF112" s="19">
        <f t="shared" si="21"/>
        <v>0</v>
      </c>
      <c r="DG112" s="23"/>
    </row>
    <row r="113" spans="1:111" ht="16.5" customHeight="1" x14ac:dyDescent="0.3">
      <c r="A113" s="14"/>
      <c r="B113" s="10" t="s">
        <v>169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1"/>
      <c r="DF113" s="22">
        <f t="shared" ref="DF113" si="37">MAX(C113:DE113)</f>
        <v>0</v>
      </c>
      <c r="DG113" s="23"/>
    </row>
    <row r="114" spans="1:111" x14ac:dyDescent="0.3">
      <c r="A114" s="14" t="s">
        <v>206</v>
      </c>
      <c r="B114" s="10" t="s">
        <v>167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5">
        <v>239000</v>
      </c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1"/>
      <c r="DF114" s="16">
        <f t="shared" si="21"/>
        <v>239000</v>
      </c>
      <c r="DG114" s="23" t="str" cm="1">
        <f t="array" ref="DG114">IFERROR(_xlfn.XLOOKUP(DF114,$B114:DE114,$B$1:$DE$1,"wilo"),"wilo")</f>
        <v>펌프샵</v>
      </c>
    </row>
    <row r="115" spans="1:111" ht="16.5" customHeight="1" x14ac:dyDescent="0.3">
      <c r="A115" s="14"/>
      <c r="B115" s="10" t="s">
        <v>168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8">
        <v>241000</v>
      </c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1"/>
      <c r="DF115" s="19">
        <f t="shared" si="21"/>
        <v>241000</v>
      </c>
      <c r="DG115" s="20"/>
    </row>
    <row r="116" spans="1:111" ht="16.5" customHeight="1" x14ac:dyDescent="0.3">
      <c r="A116" s="14"/>
      <c r="B116" s="10" t="s">
        <v>169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21">
        <v>20.412920412920418</v>
      </c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1"/>
      <c r="DF116" s="22">
        <f t="shared" ref="DF116" si="38">MAX(C116:DE116)</f>
        <v>20.412920412920418</v>
      </c>
      <c r="DG116" s="20"/>
    </row>
    <row r="117" spans="1:111" ht="16.5" customHeight="1" x14ac:dyDescent="0.3">
      <c r="A117" s="14" t="s">
        <v>207</v>
      </c>
      <c r="B117" s="10" t="s">
        <v>167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1"/>
      <c r="DF117" s="16">
        <f t="shared" si="21"/>
        <v>0</v>
      </c>
      <c r="DG117" s="23" t="str" cm="1">
        <f t="array" ref="DG117">IFERROR(_xlfn.XLOOKUP(DF117,$B117:DE117,$B$1:$DE$1,"wilo"),"wilo")</f>
        <v>wilo</v>
      </c>
    </row>
    <row r="118" spans="1:111" ht="16.5" customHeight="1" x14ac:dyDescent="0.3">
      <c r="A118" s="14"/>
      <c r="B118" s="10" t="s">
        <v>168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1"/>
      <c r="DF118" s="19">
        <f t="shared" si="21"/>
        <v>0</v>
      </c>
      <c r="DG118" s="23"/>
    </row>
    <row r="119" spans="1:111" ht="16.5" customHeight="1" x14ac:dyDescent="0.3">
      <c r="A119" s="14"/>
      <c r="B119" s="10" t="s">
        <v>169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1"/>
      <c r="DF119" s="22">
        <f t="shared" ref="DF119" si="39">MAX(C119:DE119)</f>
        <v>0</v>
      </c>
      <c r="DG119" s="23"/>
    </row>
    <row r="120" spans="1:111" x14ac:dyDescent="0.3">
      <c r="A120" s="14" t="s">
        <v>208</v>
      </c>
      <c r="B120" s="10" t="s">
        <v>167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5">
        <v>309820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1"/>
      <c r="DF120" s="16">
        <f t="shared" si="21"/>
        <v>309820</v>
      </c>
      <c r="DG120" s="23" t="str" cm="1">
        <f t="array" ref="DG120">IFERROR(_xlfn.XLOOKUP(DF120,$B120:DE120,$B$1:$DE$1,"wilo"),"wilo")</f>
        <v>쿠팡</v>
      </c>
    </row>
    <row r="121" spans="1:111" ht="16.5" customHeight="1" x14ac:dyDescent="0.3">
      <c r="A121" s="14"/>
      <c r="B121" s="10" t="s">
        <v>168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8">
        <v>315000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1"/>
      <c r="DF121" s="19">
        <f t="shared" si="21"/>
        <v>315000</v>
      </c>
      <c r="DG121" s="20"/>
    </row>
    <row r="122" spans="1:111" ht="16.5" customHeight="1" x14ac:dyDescent="0.3">
      <c r="A122" s="14"/>
      <c r="B122" s="10" t="s">
        <v>169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21">
        <v>21.105169340463465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1"/>
      <c r="DF122" s="22">
        <f t="shared" ref="DF122" si="40">MAX(C122:DE122)</f>
        <v>21.105169340463465</v>
      </c>
      <c r="DG122" s="20"/>
    </row>
    <row r="123" spans="1:111" ht="16.5" customHeight="1" x14ac:dyDescent="0.3">
      <c r="A123" s="14" t="s">
        <v>209</v>
      </c>
      <c r="B123" s="10" t="s">
        <v>167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1"/>
      <c r="DF123" s="16">
        <f t="shared" si="21"/>
        <v>0</v>
      </c>
      <c r="DG123" s="23" t="str" cm="1">
        <f t="array" ref="DG123">IFERROR(_xlfn.XLOOKUP(DF123,$B123:DE123,$B$1:$DE$1,"wilo"),"wilo")</f>
        <v>wilo</v>
      </c>
    </row>
    <row r="124" spans="1:111" ht="16.5" customHeight="1" x14ac:dyDescent="0.3">
      <c r="A124" s="14"/>
      <c r="B124" s="10" t="s">
        <v>168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1"/>
      <c r="DF124" s="19">
        <f t="shared" si="21"/>
        <v>0</v>
      </c>
      <c r="DG124" s="23"/>
    </row>
    <row r="125" spans="1:111" ht="16.5" customHeight="1" x14ac:dyDescent="0.3">
      <c r="A125" s="14"/>
      <c r="B125" s="10" t="s">
        <v>169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1"/>
      <c r="DF125" s="22">
        <f t="shared" ref="DF125" si="41">MAX(C125:DE125)</f>
        <v>0</v>
      </c>
      <c r="DG125" s="23"/>
    </row>
    <row r="126" spans="1:111" ht="16.5" customHeight="1" x14ac:dyDescent="0.3">
      <c r="A126" s="14" t="s">
        <v>210</v>
      </c>
      <c r="B126" s="10" t="s">
        <v>167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1"/>
      <c r="DF126" s="16">
        <f t="shared" si="21"/>
        <v>0</v>
      </c>
      <c r="DG126" s="23" t="str" cm="1">
        <f t="array" ref="DG126">IFERROR(_xlfn.XLOOKUP(DF126,$B126:DE126,$B$1:$DE$1,"wilo"),"wilo")</f>
        <v>wilo</v>
      </c>
    </row>
    <row r="127" spans="1:111" ht="16.5" customHeight="1" x14ac:dyDescent="0.3">
      <c r="A127" s="14"/>
      <c r="B127" s="10" t="s">
        <v>168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1"/>
      <c r="DF127" s="19">
        <f t="shared" si="21"/>
        <v>0</v>
      </c>
      <c r="DG127" s="23"/>
    </row>
    <row r="128" spans="1:111" ht="16.5" customHeight="1" x14ac:dyDescent="0.3">
      <c r="A128" s="14"/>
      <c r="B128" s="10" t="s">
        <v>169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1"/>
      <c r="DF128" s="22">
        <f t="shared" ref="DF128" si="42">MAX(C128:DE128)</f>
        <v>0</v>
      </c>
      <c r="DG128" s="23"/>
    </row>
    <row r="129" spans="1:111" ht="16.5" customHeight="1" x14ac:dyDescent="0.3">
      <c r="A129" s="14" t="s">
        <v>211</v>
      </c>
      <c r="B129" s="10" t="s">
        <v>167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1"/>
      <c r="DF129" s="16">
        <f t="shared" si="21"/>
        <v>0</v>
      </c>
      <c r="DG129" s="23" t="str" cm="1">
        <f t="array" ref="DG129">IFERROR(_xlfn.XLOOKUP(DF129,$B129:DE129,$B$1:$DE$1,"wilo"),"wilo")</f>
        <v>wilo</v>
      </c>
    </row>
    <row r="130" spans="1:111" ht="16.5" customHeight="1" x14ac:dyDescent="0.3">
      <c r="A130" s="14"/>
      <c r="B130" s="10" t="s">
        <v>168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1"/>
      <c r="DF130" s="19">
        <f t="shared" si="21"/>
        <v>0</v>
      </c>
      <c r="DG130" s="23"/>
    </row>
    <row r="131" spans="1:111" ht="16.5" customHeight="1" x14ac:dyDescent="0.3">
      <c r="A131" s="14"/>
      <c r="B131" s="10" t="s">
        <v>169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1"/>
      <c r="DF131" s="22">
        <f t="shared" ref="DF131" si="43">MAX(C131:DE131)</f>
        <v>0</v>
      </c>
      <c r="DG131" s="23"/>
    </row>
    <row r="132" spans="1:111" ht="16.5" customHeight="1" x14ac:dyDescent="0.3">
      <c r="A132" s="14" t="s">
        <v>212</v>
      </c>
      <c r="B132" s="10" t="s">
        <v>167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1"/>
      <c r="DF132" s="16">
        <f t="shared" ref="DF132:DF163" si="44">MIN(C132:DE132)</f>
        <v>0</v>
      </c>
      <c r="DG132" s="23" t="str" cm="1">
        <f t="array" ref="DG132">IFERROR(_xlfn.XLOOKUP(DF132,$B132:DE132,$B$1:$DE$1,"wilo"),"wilo")</f>
        <v>wilo</v>
      </c>
    </row>
    <row r="133" spans="1:111" ht="16.5" customHeight="1" x14ac:dyDescent="0.3">
      <c r="A133" s="14"/>
      <c r="B133" s="10" t="s">
        <v>168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1"/>
      <c r="DF133" s="19">
        <f t="shared" si="44"/>
        <v>0</v>
      </c>
      <c r="DG133" s="23"/>
    </row>
    <row r="134" spans="1:111" ht="16.5" customHeight="1" x14ac:dyDescent="0.3">
      <c r="A134" s="14"/>
      <c r="B134" s="10" t="s">
        <v>169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1"/>
      <c r="DF134" s="22">
        <f t="shared" ref="DF134" si="45">MAX(C134:DE134)</f>
        <v>0</v>
      </c>
      <c r="DG134" s="23"/>
    </row>
    <row r="135" spans="1:111" x14ac:dyDescent="0.3">
      <c r="A135" s="14" t="s">
        <v>213</v>
      </c>
      <c r="B135" s="10" t="s">
        <v>167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5">
        <v>156000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1"/>
      <c r="DF135" s="16">
        <f t="shared" si="44"/>
        <v>156000</v>
      </c>
      <c r="DG135" s="23" t="str" cm="1">
        <f t="array" ref="DG135">IFERROR(_xlfn.XLOOKUP(DF135,$B135:DE135,$B$1:$DE$1,"wilo"),"wilo")</f>
        <v>서울펌프몰</v>
      </c>
    </row>
    <row r="136" spans="1:111" ht="16.5" customHeight="1" x14ac:dyDescent="0.3">
      <c r="A136" s="14"/>
      <c r="B136" s="10" t="s">
        <v>168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8">
        <v>157000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1"/>
      <c r="DF136" s="19">
        <f t="shared" si="44"/>
        <v>157000</v>
      </c>
      <c r="DG136" s="20"/>
    </row>
    <row r="137" spans="1:111" ht="16.5" customHeight="1" x14ac:dyDescent="0.3">
      <c r="A137" s="14"/>
      <c r="B137" s="10" t="s">
        <v>169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21">
        <v>20.326864147088873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1"/>
      <c r="DF137" s="22">
        <f t="shared" ref="DF137" si="46">MAX(C137:DE137)</f>
        <v>20.326864147088873</v>
      </c>
      <c r="DG137" s="20"/>
    </row>
    <row r="138" spans="1:111" ht="16.5" customHeight="1" x14ac:dyDescent="0.3">
      <c r="A138" s="14" t="s">
        <v>214</v>
      </c>
      <c r="B138" s="10" t="s">
        <v>167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1"/>
      <c r="DF138" s="16">
        <f t="shared" si="44"/>
        <v>0</v>
      </c>
      <c r="DG138" s="23" t="str" cm="1">
        <f t="array" ref="DG138">IFERROR(_xlfn.XLOOKUP(DF138,$B138:DE138,$B$1:$DE$1,"wilo"),"wilo")</f>
        <v>wilo</v>
      </c>
    </row>
    <row r="139" spans="1:111" ht="16.5" customHeight="1" x14ac:dyDescent="0.3">
      <c r="A139" s="14"/>
      <c r="B139" s="10" t="s">
        <v>168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1"/>
      <c r="DF139" s="19">
        <f t="shared" si="44"/>
        <v>0</v>
      </c>
      <c r="DG139" s="23"/>
    </row>
    <row r="140" spans="1:111" ht="16.5" customHeight="1" x14ac:dyDescent="0.3">
      <c r="A140" s="14"/>
      <c r="B140" s="10" t="s">
        <v>169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1"/>
      <c r="DF140" s="22">
        <f t="shared" ref="DF140" si="47">MAX(C140:DE140)</f>
        <v>0</v>
      </c>
      <c r="DG140" s="23"/>
    </row>
    <row r="141" spans="1:111" ht="16.5" customHeight="1" x14ac:dyDescent="0.3">
      <c r="A141" s="14" t="s">
        <v>215</v>
      </c>
      <c r="B141" s="10" t="s">
        <v>167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1"/>
      <c r="DF141" s="16">
        <f t="shared" si="44"/>
        <v>0</v>
      </c>
      <c r="DG141" s="23" t="str" cm="1">
        <f t="array" ref="DG141">IFERROR(_xlfn.XLOOKUP(DF141,$B141:DE141,$B$1:$DE$1,"wilo"),"wilo")</f>
        <v>wilo</v>
      </c>
    </row>
    <row r="142" spans="1:111" ht="16.5" customHeight="1" x14ac:dyDescent="0.3">
      <c r="A142" s="14"/>
      <c r="B142" s="10" t="s">
        <v>168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1"/>
      <c r="DF142" s="19">
        <f t="shared" si="44"/>
        <v>0</v>
      </c>
      <c r="DG142" s="23"/>
    </row>
    <row r="143" spans="1:111" ht="16.5" customHeight="1" x14ac:dyDescent="0.3">
      <c r="A143" s="14"/>
      <c r="B143" s="10" t="s">
        <v>169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1"/>
      <c r="DF143" s="22">
        <f t="shared" ref="DF143" si="48">MAX(C143:DE143)</f>
        <v>0</v>
      </c>
      <c r="DG143" s="23"/>
    </row>
    <row r="144" spans="1:111" x14ac:dyDescent="0.3">
      <c r="A144" s="14" t="s">
        <v>216</v>
      </c>
      <c r="B144" s="10" t="s">
        <v>167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5">
        <v>134000</v>
      </c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5">
        <v>132040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5">
        <v>132040</v>
      </c>
      <c r="BE144" s="10"/>
      <c r="BF144" s="10"/>
      <c r="BG144" s="10"/>
      <c r="BH144" s="10"/>
      <c r="BI144" s="15">
        <v>134000</v>
      </c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1"/>
      <c r="DF144" s="16">
        <f t="shared" si="44"/>
        <v>132040</v>
      </c>
      <c r="DG144" s="23" t="str" cm="1">
        <f t="array" ref="DG144">IFERROR(_xlfn.XLOOKUP(DF144,$B144:DE144,$B$1:$DE$1,"wilo"),"wilo")</f>
        <v>쿠팡</v>
      </c>
    </row>
    <row r="145" spans="1:111" ht="16.5" customHeight="1" x14ac:dyDescent="0.3">
      <c r="A145" s="14"/>
      <c r="B145" s="10" t="s">
        <v>168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8">
        <v>135000</v>
      </c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8">
        <v>135000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8">
        <v>135000</v>
      </c>
      <c r="BE145" s="10"/>
      <c r="BF145" s="10"/>
      <c r="BG145" s="10"/>
      <c r="BH145" s="10"/>
      <c r="BI145" s="18">
        <v>135000</v>
      </c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1"/>
      <c r="DF145" s="19">
        <f t="shared" si="44"/>
        <v>135000</v>
      </c>
      <c r="DG145" s="20"/>
    </row>
    <row r="146" spans="1:111" ht="16.5" customHeight="1" x14ac:dyDescent="0.3">
      <c r="A146" s="14"/>
      <c r="B146" s="10" t="s">
        <v>169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21">
        <v>20.380273321449799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21">
        <v>21.544860368389788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21">
        <v>21.544860368389788</v>
      </c>
      <c r="BE146" s="10"/>
      <c r="BF146" s="10"/>
      <c r="BG146" s="10"/>
      <c r="BH146" s="10"/>
      <c r="BI146" s="21">
        <v>20.380273321449799</v>
      </c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1"/>
      <c r="DF146" s="22">
        <f t="shared" ref="DF146" si="49">MAX(C146:DE146)</f>
        <v>21.544860368389788</v>
      </c>
      <c r="DG146" s="20"/>
    </row>
    <row r="147" spans="1:111" ht="16.5" customHeight="1" x14ac:dyDescent="0.3">
      <c r="A147" s="14" t="s">
        <v>217</v>
      </c>
      <c r="B147" s="10" t="s">
        <v>167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1"/>
      <c r="DF147" s="16">
        <f t="shared" si="44"/>
        <v>0</v>
      </c>
      <c r="DG147" s="23" t="str" cm="1">
        <f t="array" ref="DG147">IFERROR(_xlfn.XLOOKUP(DF147,$B147:DE147,$B$1:$DE$1,"wilo"),"wilo")</f>
        <v>wilo</v>
      </c>
    </row>
    <row r="148" spans="1:111" ht="16.5" customHeight="1" x14ac:dyDescent="0.3">
      <c r="A148" s="14"/>
      <c r="B148" s="10" t="s">
        <v>168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1"/>
      <c r="DF148" s="19">
        <f t="shared" si="44"/>
        <v>0</v>
      </c>
      <c r="DG148" s="23"/>
    </row>
    <row r="149" spans="1:111" ht="16.5" customHeight="1" x14ac:dyDescent="0.3">
      <c r="A149" s="14"/>
      <c r="B149" s="10" t="s">
        <v>169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1"/>
      <c r="DF149" s="22">
        <f t="shared" ref="DF149" si="50">MAX(C149:DE149)</f>
        <v>0</v>
      </c>
      <c r="DG149" s="23"/>
    </row>
    <row r="150" spans="1:111" x14ac:dyDescent="0.3">
      <c r="A150" s="14" t="s">
        <v>218</v>
      </c>
      <c r="B150" s="10" t="s">
        <v>167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5">
        <v>145000</v>
      </c>
      <c r="BE150" s="10"/>
      <c r="BF150" s="10"/>
      <c r="BG150" s="10"/>
      <c r="BH150" s="10"/>
      <c r="BI150" s="15">
        <v>149000</v>
      </c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1"/>
      <c r="DF150" s="16">
        <f t="shared" si="44"/>
        <v>145000</v>
      </c>
      <c r="DG150" s="23" t="str" cm="1">
        <f t="array" ref="DG150">IFERROR(_xlfn.XLOOKUP(DF150,$B150:DE150,$B$1:$DE$1,"wilo"),"wilo")</f>
        <v>펌프샵</v>
      </c>
    </row>
    <row r="151" spans="1:111" ht="16.5" customHeight="1" x14ac:dyDescent="0.3">
      <c r="A151" s="14"/>
      <c r="B151" s="10" t="s">
        <v>168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8">
        <v>150000</v>
      </c>
      <c r="BE151" s="10"/>
      <c r="BF151" s="10"/>
      <c r="BG151" s="10"/>
      <c r="BH151" s="10"/>
      <c r="BI151" s="18">
        <v>150000</v>
      </c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1"/>
      <c r="DF151" s="19">
        <f t="shared" si="44"/>
        <v>150000</v>
      </c>
      <c r="DG151" s="20"/>
    </row>
    <row r="152" spans="1:111" ht="17.25" customHeight="1" thickBot="1" x14ac:dyDescent="0.35">
      <c r="A152" s="14"/>
      <c r="B152" s="10" t="s">
        <v>169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24">
        <v>22.459893048128347</v>
      </c>
      <c r="BE152" s="10"/>
      <c r="BF152" s="10"/>
      <c r="BG152" s="10"/>
      <c r="BH152" s="10"/>
      <c r="BI152" s="21">
        <v>20.320855614973269</v>
      </c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1"/>
      <c r="DF152" s="22">
        <f t="shared" ref="DF152" si="51">MAX(C152:DE152)</f>
        <v>22.459893048128347</v>
      </c>
      <c r="DG152" s="26"/>
    </row>
    <row r="153" spans="1:111" x14ac:dyDescent="0.3">
      <c r="A153" s="14" t="s">
        <v>219</v>
      </c>
      <c r="B153" s="10" t="s">
        <v>167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5">
        <v>331500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5">
        <v>351510</v>
      </c>
      <c r="BE153" s="10"/>
      <c r="BF153" s="10"/>
      <c r="BG153" s="10"/>
      <c r="BH153" s="15">
        <v>341030</v>
      </c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1"/>
      <c r="DF153" s="16">
        <f t="shared" si="44"/>
        <v>331500</v>
      </c>
      <c r="DG153" s="23" t="str" cm="1">
        <f t="array" ref="DG153">IFERROR(_xlfn.XLOOKUP(DF153,$B153:DE153,$B$1:$DE$1,"wilo"),"wilo")</f>
        <v>쿠팡</v>
      </c>
    </row>
    <row r="154" spans="1:111" ht="16.5" customHeight="1" x14ac:dyDescent="0.3">
      <c r="A154" s="14"/>
      <c r="B154" s="10" t="s">
        <v>168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8">
        <v>357000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8">
        <v>357000</v>
      </c>
      <c r="BE154" s="10"/>
      <c r="BF154" s="10"/>
      <c r="BG154" s="10"/>
      <c r="BH154" s="18">
        <v>357000</v>
      </c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1"/>
      <c r="DF154" s="19">
        <f t="shared" si="44"/>
        <v>357000</v>
      </c>
      <c r="DG154" s="20"/>
    </row>
    <row r="155" spans="1:111" ht="16.5" customHeight="1" x14ac:dyDescent="0.3">
      <c r="A155" s="14"/>
      <c r="B155" s="10" t="s">
        <v>169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25">
        <v>25.589225589225595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21">
        <v>21.097643097643104</v>
      </c>
      <c r="BE155" s="10"/>
      <c r="BF155" s="10"/>
      <c r="BG155" s="10"/>
      <c r="BH155" s="24">
        <v>23.450056116722788</v>
      </c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1"/>
      <c r="DF155" s="22">
        <f t="shared" ref="DF155" si="52">MAX(C155:DE155)</f>
        <v>25.589225589225595</v>
      </c>
      <c r="DG155" s="20"/>
    </row>
    <row r="156" spans="1:111" x14ac:dyDescent="0.3">
      <c r="A156" s="14" t="s">
        <v>220</v>
      </c>
      <c r="B156" s="10" t="s">
        <v>167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5">
        <v>299390</v>
      </c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5">
        <v>310300</v>
      </c>
      <c r="CM156" s="15">
        <v>300000</v>
      </c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1"/>
      <c r="DF156" s="16">
        <f t="shared" si="44"/>
        <v>299390</v>
      </c>
      <c r="DG156" s="23" t="str" cm="1">
        <f t="array" ref="DG156">IFERROR(_xlfn.XLOOKUP(DF156,$B156:DE156,$B$1:$DE$1,"wilo"),"wilo")</f>
        <v>펌프맨몰</v>
      </c>
    </row>
    <row r="157" spans="1:111" ht="16.5" customHeight="1" x14ac:dyDescent="0.3">
      <c r="A157" s="14"/>
      <c r="B157" s="10" t="s">
        <v>168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8">
        <v>313000</v>
      </c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8">
        <v>313000</v>
      </c>
      <c r="CM157" s="18">
        <v>313000</v>
      </c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1"/>
      <c r="DF157" s="19">
        <f t="shared" si="44"/>
        <v>313000</v>
      </c>
      <c r="DG157" s="20"/>
    </row>
    <row r="158" spans="1:111" ht="16.5" customHeight="1" x14ac:dyDescent="0.3">
      <c r="A158" s="14"/>
      <c r="B158" s="10" t="s">
        <v>169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24">
        <v>23.331626120358521</v>
      </c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21">
        <v>20.537772087067868</v>
      </c>
      <c r="CM158" s="24">
        <v>23.175416133162617</v>
      </c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1"/>
      <c r="DF158" s="22">
        <f t="shared" ref="DF158" si="53">MAX(C158:DE158)</f>
        <v>23.331626120358521</v>
      </c>
      <c r="DG158" s="20"/>
    </row>
    <row r="159" spans="1:111" x14ac:dyDescent="0.3">
      <c r="A159" s="14" t="s">
        <v>221</v>
      </c>
      <c r="B159" s="10" t="s">
        <v>167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5">
        <v>265730</v>
      </c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5">
        <v>270000</v>
      </c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1"/>
      <c r="DF159" s="16">
        <f t="shared" si="44"/>
        <v>265730</v>
      </c>
      <c r="DG159" s="23" t="str" cm="1">
        <f t="array" ref="DG159">IFERROR(_xlfn.XLOOKUP(DF159,$B159:DE159,$B$1:$DE$1,"wilo"),"wilo")</f>
        <v>펌프맨몰</v>
      </c>
    </row>
    <row r="160" spans="1:111" ht="16.5" customHeight="1" x14ac:dyDescent="0.3">
      <c r="A160" s="14"/>
      <c r="B160" s="10" t="s">
        <v>168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8">
        <v>278000</v>
      </c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8">
        <v>278000</v>
      </c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1"/>
      <c r="DF160" s="19">
        <f t="shared" si="44"/>
        <v>278000</v>
      </c>
      <c r="DG160" s="20"/>
    </row>
    <row r="161" spans="1:111" ht="16.5" customHeight="1" x14ac:dyDescent="0.3">
      <c r="A161" s="14"/>
      <c r="B161" s="10" t="s">
        <v>169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24">
        <v>23.310245310245318</v>
      </c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24">
        <v>22.077922077922086</v>
      </c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1"/>
      <c r="DF161" s="22">
        <f t="shared" ref="DF161" si="54">MAX(C161:DE161)</f>
        <v>23.310245310245318</v>
      </c>
      <c r="DG161" s="20"/>
    </row>
    <row r="162" spans="1:111" x14ac:dyDescent="0.3">
      <c r="A162" s="14" t="s">
        <v>222</v>
      </c>
      <c r="B162" s="10" t="s">
        <v>167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5">
        <v>186900</v>
      </c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1"/>
      <c r="DF162" s="16">
        <f t="shared" si="44"/>
        <v>186900</v>
      </c>
      <c r="DG162" s="23" t="str" cm="1">
        <f t="array" ref="DG162">IFERROR(_xlfn.XLOOKUP(DF162,$B162:DE162,$B$1:$DE$1,"wilo"),"wilo")</f>
        <v>펌프맨몰</v>
      </c>
    </row>
    <row r="163" spans="1:111" ht="16.5" customHeight="1" x14ac:dyDescent="0.3">
      <c r="A163" s="14"/>
      <c r="B163" s="10" t="s">
        <v>168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8">
        <v>196000</v>
      </c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1"/>
      <c r="DF163" s="19">
        <f t="shared" si="44"/>
        <v>196000</v>
      </c>
      <c r="DG163" s="20"/>
    </row>
    <row r="164" spans="1:111" ht="17.25" customHeight="1" thickBot="1" x14ac:dyDescent="0.35">
      <c r="A164" s="27"/>
      <c r="B164" s="28" t="s">
        <v>169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9"/>
      <c r="BD164" s="28"/>
      <c r="BE164" s="28"/>
      <c r="BF164" s="28"/>
      <c r="BG164" s="28"/>
      <c r="BH164" s="30">
        <v>23.46437346437347</v>
      </c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31"/>
      <c r="DF164" s="22">
        <f t="shared" ref="DF164" si="55">MAX(C164:DE164)</f>
        <v>23.46437346437347</v>
      </c>
      <c r="DG164" s="26"/>
    </row>
    <row r="165" spans="1:111" x14ac:dyDescent="0.3">
      <c r="B165" s="32" t="s">
        <v>223</v>
      </c>
      <c r="C165" s="33">
        <f>0.01*IFERROR(AVERAGE(C5,C8,C11,C14,C17,C20,C23,C26,C29,C32,C35,C38,C41,C44,C47,C50,C53,C56,C59,C62,C65,C68,C71,C74,C77,C80,C83,C86,C89,C92,C95,C98,C101,C104,C107,C110,C113,C116,C119,C122,C125,C128,C131,C134,C137,C140,C143,C146,C149,C152,C155,C158,C161,C164),0)</f>
        <v>0</v>
      </c>
      <c r="D165" s="33">
        <f t="shared" ref="D165:BP165" si="56">0.01*IFERROR(AVERAGE(D5,D8,D11,D14,D17,D20,D23,D26,D29,D32,D35,D38,D41,D44,D47,D50,D53,D56,D59,D62,D65,D68,D71,D74,D77,D80,D83,D86,D89,D92,D95,D98,D101,D104,D107,D110,D113,D116,D119,D122,D125,D128,D131,D134,D137,D140,D143,D146,D149,D152,D155,D158,D161,D164),0)</f>
        <v>0</v>
      </c>
      <c r="E165" s="33">
        <f t="shared" si="56"/>
        <v>0</v>
      </c>
      <c r="F165" s="33">
        <f t="shared" si="56"/>
        <v>0</v>
      </c>
      <c r="G165" s="33">
        <f t="shared" si="56"/>
        <v>0</v>
      </c>
      <c r="H165" s="33">
        <f t="shared" si="56"/>
        <v>0</v>
      </c>
      <c r="I165" s="33">
        <f t="shared" si="56"/>
        <v>0</v>
      </c>
      <c r="J165" s="33">
        <f t="shared" si="56"/>
        <v>0</v>
      </c>
      <c r="K165" s="33">
        <f t="shared" si="56"/>
        <v>0</v>
      </c>
      <c r="L165" s="33">
        <f t="shared" si="56"/>
        <v>0</v>
      </c>
      <c r="M165" s="33">
        <f t="shared" si="56"/>
        <v>0</v>
      </c>
      <c r="N165" s="33">
        <f t="shared" si="56"/>
        <v>0</v>
      </c>
      <c r="O165" s="33">
        <f t="shared" si="56"/>
        <v>0</v>
      </c>
      <c r="P165" s="33">
        <f t="shared" si="56"/>
        <v>0</v>
      </c>
      <c r="Q165" s="33">
        <f t="shared" si="56"/>
        <v>0</v>
      </c>
      <c r="R165" s="33">
        <f t="shared" si="56"/>
        <v>0</v>
      </c>
      <c r="S165" s="33">
        <f t="shared" si="56"/>
        <v>0.20240885382604276</v>
      </c>
      <c r="T165" s="33">
        <f t="shared" si="56"/>
        <v>0</v>
      </c>
      <c r="U165" s="33">
        <f t="shared" si="56"/>
        <v>0</v>
      </c>
      <c r="V165" s="33">
        <f t="shared" si="56"/>
        <v>0</v>
      </c>
      <c r="W165" s="33">
        <f t="shared" si="56"/>
        <v>0</v>
      </c>
      <c r="X165" s="33">
        <f t="shared" si="56"/>
        <v>0</v>
      </c>
      <c r="Y165" s="33">
        <f t="shared" si="56"/>
        <v>0</v>
      </c>
      <c r="Z165" s="33">
        <f t="shared" si="56"/>
        <v>0</v>
      </c>
      <c r="AA165" s="33">
        <f t="shared" si="56"/>
        <v>0</v>
      </c>
      <c r="AB165" s="33">
        <f t="shared" si="56"/>
        <v>0</v>
      </c>
      <c r="AC165" s="33">
        <f t="shared" si="56"/>
        <v>0.25535215637604725</v>
      </c>
      <c r="AD165" s="33">
        <f t="shared" si="56"/>
        <v>0</v>
      </c>
      <c r="AE165" s="33">
        <f t="shared" si="56"/>
        <v>0</v>
      </c>
      <c r="AF165" s="33">
        <f t="shared" si="56"/>
        <v>0</v>
      </c>
      <c r="AG165" s="33">
        <f t="shared" si="56"/>
        <v>0</v>
      </c>
      <c r="AH165" s="33">
        <f t="shared" si="56"/>
        <v>0</v>
      </c>
      <c r="AI165" s="33">
        <f t="shared" si="56"/>
        <v>0</v>
      </c>
      <c r="AJ165" s="33">
        <f t="shared" si="56"/>
        <v>0</v>
      </c>
      <c r="AK165" s="33">
        <f t="shared" si="56"/>
        <v>0</v>
      </c>
      <c r="AL165" s="33">
        <f t="shared" si="56"/>
        <v>0</v>
      </c>
      <c r="AM165" s="33">
        <f t="shared" si="56"/>
        <v>0</v>
      </c>
      <c r="AN165" s="33">
        <f t="shared" si="56"/>
        <v>0</v>
      </c>
      <c r="AO165" s="33">
        <f t="shared" si="56"/>
        <v>0</v>
      </c>
      <c r="AP165" s="33">
        <f t="shared" si="56"/>
        <v>0</v>
      </c>
      <c r="AQ165" s="33">
        <f t="shared" si="56"/>
        <v>0</v>
      </c>
      <c r="AR165" s="33">
        <f t="shared" si="56"/>
        <v>0.21424165846024476</v>
      </c>
      <c r="AS165" s="33">
        <f t="shared" si="56"/>
        <v>0.22022054429292531</v>
      </c>
      <c r="AT165" s="33">
        <f t="shared" si="56"/>
        <v>0.20718372834054438</v>
      </c>
      <c r="AU165" s="33">
        <f t="shared" si="56"/>
        <v>0</v>
      </c>
      <c r="AV165" s="33">
        <f t="shared" si="56"/>
        <v>0.23063571273595149</v>
      </c>
      <c r="AW165" s="33">
        <f t="shared" si="56"/>
        <v>0</v>
      </c>
      <c r="AX165" s="33">
        <f t="shared" si="56"/>
        <v>0</v>
      </c>
      <c r="AY165" s="33">
        <f t="shared" si="56"/>
        <v>0</v>
      </c>
      <c r="AZ165" s="33">
        <f t="shared" si="56"/>
        <v>0</v>
      </c>
      <c r="BA165" s="33">
        <f t="shared" si="56"/>
        <v>0</v>
      </c>
      <c r="BB165" s="33">
        <f t="shared" si="56"/>
        <v>0</v>
      </c>
      <c r="BC165" s="33">
        <f t="shared" si="56"/>
        <v>0.23952838969903822</v>
      </c>
      <c r="BD165" s="33">
        <f t="shared" si="56"/>
        <v>0.22354127984227173</v>
      </c>
      <c r="BE165" s="33">
        <f t="shared" si="56"/>
        <v>0.21089173356476465</v>
      </c>
      <c r="BF165" s="33">
        <f t="shared" si="56"/>
        <v>0</v>
      </c>
      <c r="BG165" s="33">
        <f t="shared" si="56"/>
        <v>0</v>
      </c>
      <c r="BH165" s="33">
        <f t="shared" si="56"/>
        <v>0.23389075252925026</v>
      </c>
      <c r="BI165" s="33">
        <f t="shared" si="56"/>
        <v>0.21173328762043678</v>
      </c>
      <c r="BJ165" s="33">
        <f t="shared" si="56"/>
        <v>0</v>
      </c>
      <c r="BK165" s="33">
        <f t="shared" si="56"/>
        <v>0</v>
      </c>
      <c r="BL165" s="33">
        <f t="shared" si="56"/>
        <v>0</v>
      </c>
      <c r="BM165" s="33">
        <f t="shared" si="56"/>
        <v>0.22531194295900187</v>
      </c>
      <c r="BN165" s="33">
        <f t="shared" si="56"/>
        <v>0</v>
      </c>
      <c r="BO165" s="33">
        <f t="shared" si="56"/>
        <v>0</v>
      </c>
      <c r="BP165" s="33">
        <f t="shared" si="56"/>
        <v>0</v>
      </c>
      <c r="BQ165" s="33">
        <f t="shared" ref="BQ165:DE165" si="57">0.01*IFERROR(AVERAGE(BQ5,BQ8,BQ11,BQ14,BQ17,BQ20,BQ23,BQ26,BQ29,BQ32,BQ35,BQ38,BQ41,BQ44,BQ47,BQ50,BQ53,BQ56,BQ59,BQ62,BQ65,BQ68,BQ71,BQ74,BQ77,BQ80,BQ83,BQ86,BQ89,BQ92,BQ95,BQ98,BQ101,BQ104,BQ107,BQ110,BQ113,BQ116,BQ119,BQ122,BQ125,BQ128,BQ131,BQ134,BQ137,BQ140,BQ143,BQ146,BQ149,BQ152,BQ155,BQ158,BQ161,BQ164),0)</f>
        <v>0</v>
      </c>
      <c r="BR165" s="33">
        <f t="shared" si="57"/>
        <v>0.20914181616236416</v>
      </c>
      <c r="BS165" s="33">
        <f t="shared" si="57"/>
        <v>0</v>
      </c>
      <c r="BT165" s="33">
        <f t="shared" si="57"/>
        <v>0.21621411261822229</v>
      </c>
      <c r="BU165" s="33">
        <f t="shared" si="57"/>
        <v>0</v>
      </c>
      <c r="BV165" s="33">
        <f t="shared" si="57"/>
        <v>0</v>
      </c>
      <c r="BW165" s="33">
        <f t="shared" si="57"/>
        <v>0</v>
      </c>
      <c r="BX165" s="33">
        <f t="shared" si="57"/>
        <v>0</v>
      </c>
      <c r="BY165" s="33">
        <f t="shared" si="57"/>
        <v>0</v>
      </c>
      <c r="BZ165" s="33">
        <f t="shared" si="57"/>
        <v>0.22077922077922085</v>
      </c>
      <c r="CA165" s="33">
        <f t="shared" si="57"/>
        <v>0</v>
      </c>
      <c r="CB165" s="33">
        <f t="shared" si="57"/>
        <v>0</v>
      </c>
      <c r="CC165" s="33">
        <f t="shared" si="57"/>
        <v>0</v>
      </c>
      <c r="CD165" s="33">
        <f t="shared" si="57"/>
        <v>0</v>
      </c>
      <c r="CE165" s="33">
        <f t="shared" si="57"/>
        <v>0</v>
      </c>
      <c r="CF165" s="33">
        <f t="shared" si="57"/>
        <v>0</v>
      </c>
      <c r="CG165" s="33">
        <f t="shared" si="57"/>
        <v>0</v>
      </c>
      <c r="CH165" s="33">
        <f t="shared" si="57"/>
        <v>0</v>
      </c>
      <c r="CI165" s="33">
        <f t="shared" si="57"/>
        <v>0</v>
      </c>
      <c r="CJ165" s="33">
        <f t="shared" si="57"/>
        <v>0.21253587498376067</v>
      </c>
      <c r="CK165" s="33">
        <f t="shared" si="57"/>
        <v>0</v>
      </c>
      <c r="CL165" s="33">
        <f t="shared" si="57"/>
        <v>0.20537772087067868</v>
      </c>
      <c r="CM165" s="33">
        <f t="shared" si="57"/>
        <v>0.23175416133162619</v>
      </c>
      <c r="CN165" s="33">
        <f t="shared" si="57"/>
        <v>0</v>
      </c>
      <c r="CO165" s="33">
        <f t="shared" si="57"/>
        <v>0</v>
      </c>
      <c r="CP165" s="33">
        <f t="shared" si="57"/>
        <v>0</v>
      </c>
      <c r="CQ165" s="33">
        <f t="shared" si="57"/>
        <v>0</v>
      </c>
      <c r="CR165" s="33">
        <f t="shared" si="57"/>
        <v>0</v>
      </c>
      <c r="CS165" s="33">
        <f t="shared" si="57"/>
        <v>0</v>
      </c>
      <c r="CT165" s="33">
        <f t="shared" si="57"/>
        <v>0</v>
      </c>
      <c r="CU165" s="33">
        <f t="shared" si="57"/>
        <v>0</v>
      </c>
      <c r="CV165" s="33">
        <f t="shared" si="57"/>
        <v>0</v>
      </c>
      <c r="CW165" s="33">
        <f t="shared" si="57"/>
        <v>0</v>
      </c>
      <c r="CX165" s="33">
        <f t="shared" si="57"/>
        <v>0</v>
      </c>
      <c r="CY165" s="33">
        <f t="shared" si="57"/>
        <v>0</v>
      </c>
      <c r="CZ165" s="33">
        <f t="shared" si="57"/>
        <v>0.20145622571498589</v>
      </c>
      <c r="DA165" s="33">
        <f t="shared" si="57"/>
        <v>0.23193751356042533</v>
      </c>
      <c r="DB165" s="33">
        <f t="shared" si="57"/>
        <v>0</v>
      </c>
      <c r="DC165" s="33">
        <f t="shared" si="57"/>
        <v>0</v>
      </c>
      <c r="DD165" s="33">
        <f t="shared" si="57"/>
        <v>0</v>
      </c>
      <c r="DE165" s="33">
        <f t="shared" si="57"/>
        <v>0</v>
      </c>
    </row>
    <row r="166" spans="1:111" ht="17.25" thickBot="1" x14ac:dyDescent="0.35">
      <c r="B166" s="27" t="s">
        <v>224</v>
      </c>
      <c r="C166" s="28">
        <f>COUNT(C5,C8,C11,C14,C17,C20,C23,C26,C29,C32,C35,C38,C41,C44,C47,C50,C53,C56,C59,C62,C65,C68,C71,C74,C77,C80,C83,C86,C89,C92,C95,C98,C101,C104,C107,C110,C113,C116,C119,C122,C125,C128,C131,C134,C137,C140,C143,C146,C149,C152,C155,C158,C161,C164)</f>
        <v>0</v>
      </c>
      <c r="D166" s="28">
        <f t="shared" ref="D166:BP166" si="58">COUNT(D5,D8,D11,D14,D17,D20,D23,D26,D29,D32,D35,D38,D41,D44,D47,D50,D53,D56,D59,D62,D65,D68,D71,D74,D77,D80,D83,D86,D89,D92,D95,D98,D101,D104,D107,D110,D113,D116,D119,D122,D125,D128,D131,D134,D137,D140,D143,D146,D149,D152,D155,D158,D161,D164)</f>
        <v>0</v>
      </c>
      <c r="E166" s="28">
        <f t="shared" si="58"/>
        <v>0</v>
      </c>
      <c r="F166" s="28">
        <f t="shared" si="58"/>
        <v>0</v>
      </c>
      <c r="G166" s="28">
        <f t="shared" si="58"/>
        <v>0</v>
      </c>
      <c r="H166" s="28">
        <f t="shared" si="58"/>
        <v>0</v>
      </c>
      <c r="I166" s="28">
        <f t="shared" si="58"/>
        <v>0</v>
      </c>
      <c r="J166" s="28">
        <f t="shared" si="58"/>
        <v>0</v>
      </c>
      <c r="K166" s="28">
        <f t="shared" si="58"/>
        <v>0</v>
      </c>
      <c r="L166" s="28">
        <f t="shared" si="58"/>
        <v>0</v>
      </c>
      <c r="M166" s="28">
        <f t="shared" si="58"/>
        <v>0</v>
      </c>
      <c r="N166" s="28">
        <f t="shared" si="58"/>
        <v>0</v>
      </c>
      <c r="O166" s="28">
        <f t="shared" si="58"/>
        <v>0</v>
      </c>
      <c r="P166" s="28">
        <f t="shared" si="58"/>
        <v>0</v>
      </c>
      <c r="Q166" s="28">
        <f t="shared" si="58"/>
        <v>0</v>
      </c>
      <c r="R166" s="28">
        <f t="shared" si="58"/>
        <v>0</v>
      </c>
      <c r="S166" s="28">
        <f t="shared" si="58"/>
        <v>4</v>
      </c>
      <c r="T166" s="28">
        <f t="shared" si="58"/>
        <v>0</v>
      </c>
      <c r="U166" s="28">
        <f t="shared" si="58"/>
        <v>0</v>
      </c>
      <c r="V166" s="28">
        <f t="shared" si="58"/>
        <v>0</v>
      </c>
      <c r="W166" s="28">
        <f t="shared" si="58"/>
        <v>0</v>
      </c>
      <c r="X166" s="28">
        <f t="shared" si="58"/>
        <v>0</v>
      </c>
      <c r="Y166" s="28">
        <f t="shared" si="58"/>
        <v>0</v>
      </c>
      <c r="Z166" s="28">
        <f t="shared" si="58"/>
        <v>0</v>
      </c>
      <c r="AA166" s="28">
        <f t="shared" si="58"/>
        <v>0</v>
      </c>
      <c r="AB166" s="28">
        <f t="shared" si="58"/>
        <v>0</v>
      </c>
      <c r="AC166" s="28">
        <f t="shared" si="58"/>
        <v>1</v>
      </c>
      <c r="AD166" s="28">
        <f t="shared" si="58"/>
        <v>0</v>
      </c>
      <c r="AE166" s="28">
        <f t="shared" si="58"/>
        <v>0</v>
      </c>
      <c r="AF166" s="28">
        <f t="shared" si="58"/>
        <v>0</v>
      </c>
      <c r="AG166" s="28">
        <f t="shared" si="58"/>
        <v>0</v>
      </c>
      <c r="AH166" s="28">
        <f t="shared" si="58"/>
        <v>0</v>
      </c>
      <c r="AI166" s="28">
        <f t="shared" si="58"/>
        <v>0</v>
      </c>
      <c r="AJ166" s="28">
        <f t="shared" si="58"/>
        <v>0</v>
      </c>
      <c r="AK166" s="28">
        <f t="shared" si="58"/>
        <v>0</v>
      </c>
      <c r="AL166" s="28">
        <f t="shared" si="58"/>
        <v>0</v>
      </c>
      <c r="AM166" s="28">
        <f t="shared" si="58"/>
        <v>0</v>
      </c>
      <c r="AN166" s="28">
        <f t="shared" si="58"/>
        <v>0</v>
      </c>
      <c r="AO166" s="28">
        <f t="shared" si="58"/>
        <v>0</v>
      </c>
      <c r="AP166" s="28">
        <f t="shared" si="58"/>
        <v>0</v>
      </c>
      <c r="AQ166" s="28">
        <f t="shared" si="58"/>
        <v>0</v>
      </c>
      <c r="AR166" s="28">
        <f t="shared" si="58"/>
        <v>6</v>
      </c>
      <c r="AS166" s="28">
        <f t="shared" si="58"/>
        <v>10</v>
      </c>
      <c r="AT166" s="28">
        <f t="shared" si="58"/>
        <v>3</v>
      </c>
      <c r="AU166" s="28">
        <f t="shared" si="58"/>
        <v>0</v>
      </c>
      <c r="AV166" s="28">
        <f t="shared" si="58"/>
        <v>2</v>
      </c>
      <c r="AW166" s="28">
        <f t="shared" si="58"/>
        <v>0</v>
      </c>
      <c r="AX166" s="28">
        <f t="shared" si="58"/>
        <v>0</v>
      </c>
      <c r="AY166" s="28">
        <f t="shared" si="58"/>
        <v>0</v>
      </c>
      <c r="AZ166" s="28">
        <f t="shared" si="58"/>
        <v>0</v>
      </c>
      <c r="BA166" s="28">
        <f t="shared" si="58"/>
        <v>0</v>
      </c>
      <c r="BB166" s="28">
        <f t="shared" si="58"/>
        <v>0</v>
      </c>
      <c r="BC166" s="28">
        <f t="shared" si="58"/>
        <v>1</v>
      </c>
      <c r="BD166" s="28">
        <f t="shared" si="58"/>
        <v>14</v>
      </c>
      <c r="BE166" s="28">
        <f t="shared" si="58"/>
        <v>1</v>
      </c>
      <c r="BF166" s="28">
        <f t="shared" si="58"/>
        <v>0</v>
      </c>
      <c r="BG166" s="28">
        <f t="shared" si="58"/>
        <v>0</v>
      </c>
      <c r="BH166" s="28">
        <f t="shared" si="58"/>
        <v>4</v>
      </c>
      <c r="BI166" s="28">
        <f t="shared" si="58"/>
        <v>6</v>
      </c>
      <c r="BJ166" s="28">
        <f t="shared" si="58"/>
        <v>0</v>
      </c>
      <c r="BK166" s="28">
        <f t="shared" si="58"/>
        <v>0</v>
      </c>
      <c r="BL166" s="28">
        <f t="shared" si="58"/>
        <v>0</v>
      </c>
      <c r="BM166" s="28">
        <f t="shared" si="58"/>
        <v>1</v>
      </c>
      <c r="BN166" s="28">
        <f t="shared" si="58"/>
        <v>0</v>
      </c>
      <c r="BO166" s="28">
        <f t="shared" si="58"/>
        <v>0</v>
      </c>
      <c r="BP166" s="28">
        <f t="shared" si="58"/>
        <v>0</v>
      </c>
      <c r="BQ166" s="28">
        <f t="shared" ref="BQ166:DE166" si="59">COUNT(BQ5,BQ8,BQ11,BQ14,BQ17,BQ20,BQ23,BQ26,BQ29,BQ32,BQ35,BQ38,BQ41,BQ44,BQ47,BQ50,BQ53,BQ56,BQ59,BQ62,BQ65,BQ68,BQ71,BQ74,BQ77,BQ80,BQ83,BQ86,BQ89,BQ92,BQ95,BQ98,BQ101,BQ104,BQ107,BQ110,BQ113,BQ116,BQ119,BQ122,BQ125,BQ128,BQ131,BQ134,BQ137,BQ140,BQ143,BQ146,BQ149,BQ152,BQ155,BQ158,BQ161,BQ164)</f>
        <v>0</v>
      </c>
      <c r="BR166" s="28">
        <f t="shared" si="59"/>
        <v>2</v>
      </c>
      <c r="BS166" s="28">
        <f t="shared" si="59"/>
        <v>0</v>
      </c>
      <c r="BT166" s="28">
        <f t="shared" si="59"/>
        <v>2</v>
      </c>
      <c r="BU166" s="28">
        <f t="shared" si="59"/>
        <v>0</v>
      </c>
      <c r="BV166" s="28">
        <f t="shared" si="59"/>
        <v>0</v>
      </c>
      <c r="BW166" s="28">
        <f t="shared" si="59"/>
        <v>0</v>
      </c>
      <c r="BX166" s="28">
        <f t="shared" si="59"/>
        <v>0</v>
      </c>
      <c r="BY166" s="28">
        <f t="shared" si="59"/>
        <v>0</v>
      </c>
      <c r="BZ166" s="28">
        <f t="shared" si="59"/>
        <v>1</v>
      </c>
      <c r="CA166" s="28">
        <f t="shared" si="59"/>
        <v>0</v>
      </c>
      <c r="CB166" s="28">
        <f t="shared" si="59"/>
        <v>0</v>
      </c>
      <c r="CC166" s="28">
        <f t="shared" si="59"/>
        <v>0</v>
      </c>
      <c r="CD166" s="28">
        <f t="shared" si="59"/>
        <v>0</v>
      </c>
      <c r="CE166" s="28">
        <f t="shared" si="59"/>
        <v>0</v>
      </c>
      <c r="CF166" s="28">
        <f t="shared" si="59"/>
        <v>0</v>
      </c>
      <c r="CG166" s="28">
        <f t="shared" si="59"/>
        <v>0</v>
      </c>
      <c r="CH166" s="28">
        <f t="shared" si="59"/>
        <v>0</v>
      </c>
      <c r="CI166" s="28">
        <f t="shared" si="59"/>
        <v>0</v>
      </c>
      <c r="CJ166" s="28">
        <f t="shared" si="59"/>
        <v>3</v>
      </c>
      <c r="CK166" s="28">
        <f t="shared" si="59"/>
        <v>0</v>
      </c>
      <c r="CL166" s="28">
        <f t="shared" si="59"/>
        <v>1</v>
      </c>
      <c r="CM166" s="28">
        <f t="shared" si="59"/>
        <v>1</v>
      </c>
      <c r="CN166" s="28">
        <f t="shared" si="59"/>
        <v>0</v>
      </c>
      <c r="CO166" s="28">
        <f t="shared" si="59"/>
        <v>0</v>
      </c>
      <c r="CP166" s="28">
        <f t="shared" si="59"/>
        <v>0</v>
      </c>
      <c r="CQ166" s="28">
        <f t="shared" si="59"/>
        <v>0</v>
      </c>
      <c r="CR166" s="28">
        <f t="shared" si="59"/>
        <v>0</v>
      </c>
      <c r="CS166" s="28">
        <f t="shared" si="59"/>
        <v>0</v>
      </c>
      <c r="CT166" s="28">
        <f t="shared" si="59"/>
        <v>0</v>
      </c>
      <c r="CU166" s="28">
        <f t="shared" si="59"/>
        <v>0</v>
      </c>
      <c r="CV166" s="28">
        <f t="shared" si="59"/>
        <v>0</v>
      </c>
      <c r="CW166" s="28">
        <f t="shared" si="59"/>
        <v>0</v>
      </c>
      <c r="CX166" s="28">
        <f t="shared" si="59"/>
        <v>0</v>
      </c>
      <c r="CY166" s="28">
        <f t="shared" si="59"/>
        <v>0</v>
      </c>
      <c r="CZ166" s="28">
        <f t="shared" si="59"/>
        <v>2</v>
      </c>
      <c r="DA166" s="28">
        <f t="shared" si="59"/>
        <v>1</v>
      </c>
      <c r="DB166" s="28">
        <f t="shared" si="59"/>
        <v>0</v>
      </c>
      <c r="DC166" s="28">
        <f t="shared" si="59"/>
        <v>0</v>
      </c>
      <c r="DD166" s="28">
        <f t="shared" si="59"/>
        <v>0</v>
      </c>
      <c r="DE166" s="28">
        <f t="shared" si="59"/>
        <v>0</v>
      </c>
    </row>
  </sheetData>
  <autoFilter ref="A2:DG166" xr:uid="{2AFF419B-2194-49DF-8356-54AB6EB89451}">
    <filterColumn colId="0" showButton="0"/>
  </autoFilter>
  <phoneticPr fontId="3" type="noConversion"/>
  <hyperlinks>
    <hyperlink ref="AS3" r:id="rId1" display="513,000" xr:uid="{6045CA89-1D03-4DD0-A355-623BEBD2BA4A}"/>
    <hyperlink ref="BI6" r:id="rId2" display="392,000" xr:uid="{D3A9193F-E52B-4535-B28D-D8A180735E5D}"/>
    <hyperlink ref="AR9" r:id="rId3" display="251,320" xr:uid="{F9489DF8-6133-475F-AE33-B24B048597F8}"/>
    <hyperlink ref="AS9" r:id="rId4" display="246,100" xr:uid="{59D27941-68AB-416B-A179-782AF9BE6FCB}"/>
    <hyperlink ref="BD9" r:id="rId5" display="247,950" xr:uid="{37936658-D630-47C5-8A3F-433F5C422C93}"/>
    <hyperlink ref="BR9" r:id="rId6" display="255,500" xr:uid="{38310CC9-FFD8-4323-BDE2-966DF8B3CB39}"/>
    <hyperlink ref="BT9" r:id="rId7" display="251,300" xr:uid="{F522502C-271F-4540-B135-2932409DFE3B}"/>
    <hyperlink ref="CJ9" r:id="rId8" display="255,000" xr:uid="{AE02B8BB-D916-4F57-8A39-B0ED25134909}"/>
    <hyperlink ref="AS12" r:id="rId9" display="225,700" xr:uid="{4EA419C3-0E2F-49FC-8FCE-7C5D26D1FEEE}"/>
    <hyperlink ref="BD12" r:id="rId10" display="219,910" xr:uid="{5127D2A5-EC40-4EC7-815E-50B3D0461163}"/>
    <hyperlink ref="AR15" r:id="rId11" display="192,430" xr:uid="{8267F085-A013-40BA-A117-DA848AEA69A7}"/>
    <hyperlink ref="AS15" r:id="rId12" display="192,070" xr:uid="{CDD8D503-D773-4791-9493-A8AA51C709E2}"/>
    <hyperlink ref="BR15" r:id="rId13" display="192,000" xr:uid="{0F191316-1426-426D-AE56-A4B416A20DF2}"/>
    <hyperlink ref="BT15" r:id="rId14" display="191,700" xr:uid="{DDCFEA12-7AA8-43AC-AD76-3C0719C5C464}"/>
    <hyperlink ref="CJ15" r:id="rId15" display="190,000" xr:uid="{28ABCE84-3C58-43BA-BC27-6E4D5ECC613B}"/>
    <hyperlink ref="S18" r:id="rId16" display="187,000" xr:uid="{BE5AE3E6-A8FB-4BA0-A9CF-B8A09FE00ACA}"/>
    <hyperlink ref="BD18" r:id="rId17" display="179,900" xr:uid="{EBBC1B1F-B4DF-488B-B136-53CC3E9D1070}"/>
    <hyperlink ref="AR21" r:id="rId18" display="161,100" xr:uid="{DD8F5731-03F1-4747-8077-A1708307DED5}"/>
    <hyperlink ref="CJ21" r:id="rId19" display="160,000" xr:uid="{76C22196-FFCE-40FA-9BF9-8B3E91CEB0BC}"/>
    <hyperlink ref="S27" r:id="rId20" display="233,000" xr:uid="{26BC4075-B491-4B8A-9177-81DB136A62A0}"/>
    <hyperlink ref="CZ27" r:id="rId21" display="233,000" xr:uid="{102ADBED-5838-41EF-A10E-37A736C05359}"/>
    <hyperlink ref="BI33" r:id="rId22" display="305,000" xr:uid="{999354E3-546C-4DAA-B5D1-540E38819E8C}"/>
    <hyperlink ref="AR48" r:id="rId23" display="49,500" xr:uid="{8C64C7D3-B652-4973-9BF7-25FCC3626401}"/>
    <hyperlink ref="AS48" r:id="rId24" display="51,030" xr:uid="{9922F42B-5AEF-480D-AD29-1B21F895893A}"/>
    <hyperlink ref="BD48" r:id="rId25" display="48,600" xr:uid="{6F5BE2D8-84B6-4DE1-A64D-006032EFB00E}"/>
    <hyperlink ref="AR51" r:id="rId26" display="88,230" xr:uid="{8D53568D-ED97-499C-900A-CFEB0D0C5AB1}"/>
    <hyperlink ref="AT51" r:id="rId27" display="89,640" xr:uid="{A152B8B4-C074-470A-9E3F-95945A524BDB}"/>
    <hyperlink ref="BD51" r:id="rId28" display="87,900" xr:uid="{5C57D674-06A7-4FFC-8636-5BDD4DE16A61}"/>
    <hyperlink ref="BI51" r:id="rId29" display="88,000" xr:uid="{96B13794-2187-4462-9B2D-06478458AFFC}"/>
    <hyperlink ref="BM51" r:id="rId30" display="86,920" xr:uid="{77304F1A-BA24-40F8-A168-8FD3552BDE0C}"/>
    <hyperlink ref="AR54" r:id="rId31" display="36,700" xr:uid="{A3F1E377-11F4-45A9-B730-20FDEA738662}"/>
    <hyperlink ref="AT54" r:id="rId32" display="36,400" xr:uid="{9310E325-5BAA-456F-9F6D-6077ABE4F62E}"/>
    <hyperlink ref="AV54" r:id="rId33" display="35,460" xr:uid="{786C0812-46C0-4D64-A05F-59C0F4B1BDB1}"/>
    <hyperlink ref="BD54" r:id="rId34" display="36,000" xr:uid="{49DF44C0-52CB-4CF7-9AC2-7703919AC82D}"/>
    <hyperlink ref="AS57" r:id="rId35" display="35,350" xr:uid="{6FDC9254-55A1-46B8-8EA0-FAF9BB00B538}"/>
    <hyperlink ref="AT57" r:id="rId36" display="36,400" xr:uid="{EF12BFA9-6BCE-47BF-BA0D-961841D53A7E}"/>
    <hyperlink ref="AV57" r:id="rId37" display="35,460" xr:uid="{7005DD47-AE9E-43F4-8B1E-8FE6BBD772B4}"/>
    <hyperlink ref="BD57" r:id="rId38" display="34,500" xr:uid="{1CDFC75B-FEC1-4038-B9D5-0975959B39A1}"/>
    <hyperlink ref="BE57" r:id="rId39" display="36,370" xr:uid="{424F08B4-9F52-46AC-BCD3-0C26CB2CAEF4}"/>
    <hyperlink ref="DA57" r:id="rId40" display="35,400" xr:uid="{DA679103-F5A7-43D9-BADF-A86F96813687}"/>
    <hyperlink ref="BD66" r:id="rId41" display="233,500" xr:uid="{47BDFB5B-DB29-4E57-B01D-0F802E4444E8}"/>
    <hyperlink ref="CZ69" r:id="rId42" display="301,000" xr:uid="{E6E65845-A9AC-40C3-8512-679FC0A136AE}"/>
    <hyperlink ref="AS75" r:id="rId43" display="310,000" xr:uid="{F9F92A6F-38BD-4FBF-AD4F-73F039D198E9}"/>
    <hyperlink ref="AC81" r:id="rId44" display="240,000" xr:uid="{84BA9A04-8C71-4A39-811B-1499347C5EEE}"/>
    <hyperlink ref="BD87" r:id="rId45" display="161,600" xr:uid="{5BA16DC7-E2FC-4B75-8880-38E5F44D3E47}"/>
    <hyperlink ref="BI90" r:id="rId46" display="367,000" xr:uid="{1DEA3355-5A23-4D19-A31E-EF1BFA9FCDE4}"/>
    <hyperlink ref="BD108" r:id="rId47" display="303,800" xr:uid="{9849DAF4-C85D-41A9-AEBC-233BB2E0E6D3}"/>
    <hyperlink ref="BD114" r:id="rId48" display="239,000" xr:uid="{59A0AA6E-FC1F-4415-841C-60BF77552735}"/>
    <hyperlink ref="AS120" r:id="rId49" display="309,820" xr:uid="{E845EA29-F6FC-448B-8055-9890765719E8}"/>
    <hyperlink ref="S135" r:id="rId50" display="156,000" xr:uid="{5EF449C7-67B3-40D7-9C93-E5E0B6E0E348}"/>
    <hyperlink ref="S144" r:id="rId51" display="134,000" xr:uid="{A573F781-81D3-4C9F-A772-C8AEC82BFB18}"/>
    <hyperlink ref="AS144" r:id="rId52" display="132,040" xr:uid="{08150CC7-7F08-4D38-9091-D360ECC4E1E0}"/>
    <hyperlink ref="BD144" r:id="rId53" display="132,040" xr:uid="{C15EAA5D-F0DB-4D49-B028-9C912D57DC46}"/>
    <hyperlink ref="BI144" r:id="rId54" display="134,000" xr:uid="{24561C0C-F0F0-4CE2-AD4C-91153B3D57FF}"/>
    <hyperlink ref="BD150" r:id="rId55" display="145,000" xr:uid="{94B6273C-CB1D-4590-9979-B9FD1DE0B724}"/>
    <hyperlink ref="BI150" r:id="rId56" display="149,000" xr:uid="{F69DB82A-60AD-43BE-9948-FB7769B795BC}"/>
    <hyperlink ref="AS153" r:id="rId57" display="331,500" xr:uid="{9288064D-30AB-423D-9720-1EF6BC1D8591}"/>
    <hyperlink ref="BD153" r:id="rId58" display="351,510" xr:uid="{EC9B80A3-F638-4DBB-AA72-E32E7042C724}"/>
    <hyperlink ref="BH153" r:id="rId59" display="341,030" xr:uid="{35066E08-A2DE-4512-967D-7F61FA4B7284}"/>
    <hyperlink ref="BH156" r:id="rId60" display="299,390" xr:uid="{8ACFB507-1FF0-48D6-A232-5F0304488560}"/>
    <hyperlink ref="CL156" r:id="rId61" display="310,300" xr:uid="{E2CBD179-E809-4A96-AC54-D61E9A363F91}"/>
    <hyperlink ref="CM156" r:id="rId62" display="300,000" xr:uid="{BC480AC0-EDD3-46E2-BF5E-1634803E5960}"/>
    <hyperlink ref="BH159" r:id="rId63" display="265,730" xr:uid="{793D0A38-27A0-4CDA-9CB5-03150E639931}"/>
    <hyperlink ref="BZ159" r:id="rId64" display="270,000" xr:uid="{00E61DA7-ED89-4205-A896-75F52A88B673}"/>
    <hyperlink ref="BH162" r:id="rId65" display="186,900" xr:uid="{5F055A11-FD49-4402-8AC1-B9323129204C}"/>
    <hyperlink ref="BC81" r:id="rId66" display="245,100" xr:uid="{0FB3BD8D-C06F-4D2A-8D62-FE488C2908B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통합결과양식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Woojae</dc:creator>
  <cp:lastModifiedBy>Nam Woojae</cp:lastModifiedBy>
  <dcterms:created xsi:type="dcterms:W3CDTF">2026-04-14T23:37:18Z</dcterms:created>
  <dcterms:modified xsi:type="dcterms:W3CDTF">2026-04-14T23:44:35Z</dcterms:modified>
</cp:coreProperties>
</file>